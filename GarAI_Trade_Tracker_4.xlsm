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Projects\market-universe-generator\"/>
    </mc:Choice>
  </mc:AlternateContent>
  <xr:revisionPtr revIDLastSave="0" documentId="8_{2894827A-3BE1-450B-B5C1-9D0B1430555B}" xr6:coauthVersionLast="47" xr6:coauthVersionMax="47" xr10:uidLastSave="{00000000-0000-0000-0000-000000000000}"/>
  <bookViews>
    <workbookView xWindow="-120" yWindow="-120" windowWidth="38640" windowHeight="21120" xr2:uid="{00000000-000D-0000-FFFF-FFFF00000000}"/>
  </bookViews>
  <sheets>
    <sheet name="Trade Log" sheetId="1" r:id="rId1"/>
    <sheet name="Summary" sheetId="2" r:id="rId2"/>
    <sheet name="How to Use" sheetId="3" r:id="rId3"/>
    <sheet name="Export Setup"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 l="1"/>
  <c r="E21" i="2" s="1"/>
  <c r="I6" i="1"/>
  <c r="J69" i="2"/>
  <c r="I69" i="2"/>
  <c r="H69" i="2"/>
  <c r="G69" i="2"/>
  <c r="F69" i="2"/>
  <c r="E69" i="2"/>
  <c r="D69" i="2"/>
  <c r="C69" i="2"/>
  <c r="B69" i="2"/>
  <c r="A69" i="2"/>
  <c r="J68" i="2"/>
  <c r="I68" i="2"/>
  <c r="H68" i="2"/>
  <c r="G68" i="2"/>
  <c r="F68" i="2"/>
  <c r="E68" i="2"/>
  <c r="D68" i="2"/>
  <c r="C68" i="2"/>
  <c r="B68" i="2"/>
  <c r="A68" i="2"/>
  <c r="J67" i="2"/>
  <c r="I67" i="2"/>
  <c r="H67" i="2"/>
  <c r="G67" i="2"/>
  <c r="F67" i="2"/>
  <c r="E67" i="2"/>
  <c r="D67" i="2"/>
  <c r="C67" i="2"/>
  <c r="B67" i="2"/>
  <c r="A67" i="2"/>
  <c r="J66" i="2"/>
  <c r="I66" i="2"/>
  <c r="H66" i="2"/>
  <c r="G66" i="2"/>
  <c r="F66" i="2"/>
  <c r="E66" i="2"/>
  <c r="D66" i="2"/>
  <c r="C66" i="2"/>
  <c r="B66" i="2"/>
  <c r="A66" i="2"/>
  <c r="J65" i="2"/>
  <c r="I65" i="2"/>
  <c r="H65" i="2"/>
  <c r="G65" i="2"/>
  <c r="F65" i="2"/>
  <c r="E65" i="2"/>
  <c r="D65" i="2"/>
  <c r="C65" i="2"/>
  <c r="B65" i="2"/>
  <c r="A65" i="2"/>
  <c r="J64" i="2"/>
  <c r="I64" i="2"/>
  <c r="H64" i="2"/>
  <c r="G64" i="2"/>
  <c r="F64" i="2"/>
  <c r="E64" i="2"/>
  <c r="D64" i="2"/>
  <c r="C64" i="2"/>
  <c r="B64" i="2"/>
  <c r="A64" i="2"/>
  <c r="J63" i="2"/>
  <c r="I63" i="2"/>
  <c r="H63" i="2"/>
  <c r="G63" i="2"/>
  <c r="F63" i="2"/>
  <c r="E63" i="2"/>
  <c r="D63" i="2"/>
  <c r="C63" i="2"/>
  <c r="B63" i="2"/>
  <c r="A63" i="2"/>
  <c r="J62" i="2"/>
  <c r="I62" i="2"/>
  <c r="H62" i="2"/>
  <c r="G62" i="2"/>
  <c r="F62" i="2"/>
  <c r="E62" i="2"/>
  <c r="D62" i="2"/>
  <c r="C62" i="2"/>
  <c r="B62" i="2"/>
  <c r="A62" i="2"/>
  <c r="J61" i="2"/>
  <c r="I61" i="2"/>
  <c r="H61" i="2"/>
  <c r="G61" i="2"/>
  <c r="F61" i="2"/>
  <c r="E61" i="2"/>
  <c r="D61" i="2"/>
  <c r="C61" i="2"/>
  <c r="B61" i="2"/>
  <c r="A61" i="2"/>
  <c r="J60" i="2"/>
  <c r="I60" i="2"/>
  <c r="H60" i="2"/>
  <c r="G60" i="2"/>
  <c r="F60" i="2"/>
  <c r="E60" i="2"/>
  <c r="D60" i="2"/>
  <c r="C60" i="2"/>
  <c r="B60" i="2"/>
  <c r="A60" i="2"/>
  <c r="J59" i="2"/>
  <c r="I59" i="2"/>
  <c r="H59" i="2"/>
  <c r="G59" i="2"/>
  <c r="F59" i="2"/>
  <c r="E59" i="2"/>
  <c r="D59" i="2"/>
  <c r="C59" i="2"/>
  <c r="B59" i="2"/>
  <c r="A59" i="2"/>
  <c r="J58" i="2"/>
  <c r="I58" i="2"/>
  <c r="H58" i="2"/>
  <c r="G58" i="2"/>
  <c r="F58" i="2"/>
  <c r="E58" i="2"/>
  <c r="D58" i="2"/>
  <c r="C58" i="2"/>
  <c r="B58" i="2"/>
  <c r="A58" i="2"/>
  <c r="J57" i="2"/>
  <c r="I57" i="2"/>
  <c r="H57" i="2"/>
  <c r="G57" i="2"/>
  <c r="F57" i="2"/>
  <c r="E57" i="2"/>
  <c r="D57" i="2"/>
  <c r="C57" i="2"/>
  <c r="B57" i="2"/>
  <c r="A57" i="2"/>
  <c r="J56" i="2"/>
  <c r="I56" i="2"/>
  <c r="H56" i="2"/>
  <c r="G56" i="2"/>
  <c r="F56" i="2"/>
  <c r="E56" i="2"/>
  <c r="D56" i="2"/>
  <c r="C56" i="2"/>
  <c r="B56" i="2"/>
  <c r="A56" i="2"/>
  <c r="J55" i="2"/>
  <c r="I55" i="2"/>
  <c r="H55" i="2"/>
  <c r="G55" i="2"/>
  <c r="F55" i="2"/>
  <c r="E55" i="2"/>
  <c r="D55" i="2"/>
  <c r="C55" i="2"/>
  <c r="B55" i="2"/>
  <c r="A55" i="2"/>
  <c r="J54" i="2"/>
  <c r="I54" i="2"/>
  <c r="H54" i="2"/>
  <c r="G54" i="2"/>
  <c r="F54" i="2"/>
  <c r="E54" i="2"/>
  <c r="D54" i="2"/>
  <c r="C54" i="2"/>
  <c r="B54" i="2"/>
  <c r="A54" i="2"/>
  <c r="J53" i="2"/>
  <c r="I53" i="2"/>
  <c r="H53" i="2"/>
  <c r="G53" i="2"/>
  <c r="F53" i="2"/>
  <c r="E53" i="2"/>
  <c r="D53" i="2"/>
  <c r="C53" i="2"/>
  <c r="B53" i="2"/>
  <c r="A53" i="2"/>
  <c r="J52" i="2"/>
  <c r="I52" i="2"/>
  <c r="H52" i="2"/>
  <c r="G52" i="2"/>
  <c r="F52" i="2"/>
  <c r="E52" i="2"/>
  <c r="D52" i="2"/>
  <c r="C52" i="2"/>
  <c r="B52" i="2"/>
  <c r="A52" i="2"/>
  <c r="J51" i="2"/>
  <c r="I51" i="2"/>
  <c r="H51" i="2"/>
  <c r="G51" i="2"/>
  <c r="F51" i="2"/>
  <c r="E51" i="2"/>
  <c r="D51" i="2"/>
  <c r="C51" i="2"/>
  <c r="B51" i="2"/>
  <c r="A51" i="2"/>
  <c r="J50" i="2"/>
  <c r="I50" i="2"/>
  <c r="H50" i="2"/>
  <c r="G50" i="2"/>
  <c r="F50" i="2"/>
  <c r="E50" i="2"/>
  <c r="D50" i="2"/>
  <c r="C50" i="2"/>
  <c r="B50" i="2"/>
  <c r="A50" i="2"/>
  <c r="J49" i="2"/>
  <c r="I49" i="2"/>
  <c r="H49" i="2"/>
  <c r="G49" i="2"/>
  <c r="F49" i="2"/>
  <c r="E49" i="2"/>
  <c r="D49" i="2"/>
  <c r="C49" i="2"/>
  <c r="B49" i="2"/>
  <c r="A49" i="2"/>
  <c r="J48" i="2"/>
  <c r="I48" i="2"/>
  <c r="H48" i="2"/>
  <c r="G48" i="2"/>
  <c r="F48" i="2"/>
  <c r="E48" i="2"/>
  <c r="D48" i="2"/>
  <c r="C48" i="2"/>
  <c r="B48" i="2"/>
  <c r="A48" i="2"/>
  <c r="J47" i="2"/>
  <c r="I47" i="2"/>
  <c r="H47" i="2"/>
  <c r="G47" i="2"/>
  <c r="F47" i="2"/>
  <c r="E47" i="2"/>
  <c r="D47" i="2"/>
  <c r="C47" i="2"/>
  <c r="B47" i="2"/>
  <c r="A47" i="2"/>
  <c r="J46" i="2"/>
  <c r="I46" i="2"/>
  <c r="H46" i="2"/>
  <c r="G46" i="2"/>
  <c r="F46" i="2"/>
  <c r="E46" i="2"/>
  <c r="D46" i="2"/>
  <c r="C46" i="2"/>
  <c r="B46" i="2"/>
  <c r="A46" i="2"/>
  <c r="J45" i="2"/>
  <c r="I45" i="2"/>
  <c r="H45" i="2"/>
  <c r="G45" i="2"/>
  <c r="F45" i="2"/>
  <c r="E45" i="2"/>
  <c r="D45" i="2"/>
  <c r="C45" i="2"/>
  <c r="B45" i="2"/>
  <c r="A45" i="2"/>
  <c r="J44" i="2"/>
  <c r="I44" i="2"/>
  <c r="H44" i="2"/>
  <c r="G44" i="2"/>
  <c r="F44" i="2"/>
  <c r="E44" i="2"/>
  <c r="D44" i="2"/>
  <c r="C44" i="2"/>
  <c r="B44" i="2"/>
  <c r="A44" i="2"/>
  <c r="J43" i="2"/>
  <c r="I43" i="2"/>
  <c r="H43" i="2"/>
  <c r="G43" i="2"/>
  <c r="F43" i="2"/>
  <c r="E43" i="2"/>
  <c r="D43" i="2"/>
  <c r="C43" i="2"/>
  <c r="B43" i="2"/>
  <c r="A43" i="2"/>
  <c r="J42" i="2"/>
  <c r="I42" i="2"/>
  <c r="H42" i="2"/>
  <c r="G42" i="2"/>
  <c r="F42" i="2"/>
  <c r="E42" i="2"/>
  <c r="D42" i="2"/>
  <c r="C42" i="2"/>
  <c r="B42" i="2"/>
  <c r="A42" i="2"/>
  <c r="J41" i="2"/>
  <c r="I41" i="2"/>
  <c r="H41" i="2"/>
  <c r="G41" i="2"/>
  <c r="F41" i="2"/>
  <c r="E41" i="2"/>
  <c r="D41" i="2"/>
  <c r="C41" i="2"/>
  <c r="B41" i="2"/>
  <c r="A41" i="2"/>
  <c r="J40" i="2"/>
  <c r="I40" i="2"/>
  <c r="H40" i="2"/>
  <c r="G40" i="2"/>
  <c r="F40" i="2"/>
  <c r="E40" i="2"/>
  <c r="D40" i="2"/>
  <c r="C40" i="2"/>
  <c r="B40" i="2"/>
  <c r="A40" i="2"/>
  <c r="J39" i="2"/>
  <c r="I39" i="2"/>
  <c r="H39" i="2"/>
  <c r="G39" i="2"/>
  <c r="F39" i="2"/>
  <c r="E39" i="2"/>
  <c r="D39" i="2"/>
  <c r="C39" i="2"/>
  <c r="B39" i="2"/>
  <c r="A39" i="2"/>
  <c r="J38" i="2"/>
  <c r="I38" i="2"/>
  <c r="H38" i="2"/>
  <c r="G38" i="2"/>
  <c r="F38" i="2"/>
  <c r="E38" i="2"/>
  <c r="D38" i="2"/>
  <c r="C38" i="2"/>
  <c r="B38" i="2"/>
  <c r="A38" i="2"/>
  <c r="J37" i="2"/>
  <c r="I37" i="2"/>
  <c r="H37" i="2"/>
  <c r="G37" i="2"/>
  <c r="F37" i="2"/>
  <c r="E37" i="2"/>
  <c r="D37" i="2"/>
  <c r="C37" i="2"/>
  <c r="B37" i="2"/>
  <c r="A37" i="2"/>
  <c r="J36" i="2"/>
  <c r="I36" i="2"/>
  <c r="H36" i="2"/>
  <c r="G36" i="2"/>
  <c r="F36" i="2"/>
  <c r="E36" i="2"/>
  <c r="D36" i="2"/>
  <c r="C36" i="2"/>
  <c r="B36" i="2"/>
  <c r="A36" i="2"/>
  <c r="J35" i="2"/>
  <c r="I35" i="2"/>
  <c r="H35" i="2"/>
  <c r="G35" i="2"/>
  <c r="F35" i="2"/>
  <c r="E35" i="2"/>
  <c r="D35" i="2"/>
  <c r="C35" i="2"/>
  <c r="B35" i="2"/>
  <c r="A35" i="2"/>
  <c r="J34" i="2"/>
  <c r="I34" i="2"/>
  <c r="H34" i="2"/>
  <c r="G34" i="2"/>
  <c r="F34" i="2"/>
  <c r="E34" i="2"/>
  <c r="D34" i="2"/>
  <c r="C34" i="2"/>
  <c r="B34" i="2"/>
  <c r="A34" i="2"/>
  <c r="J33" i="2"/>
  <c r="I33" i="2"/>
  <c r="H33" i="2"/>
  <c r="G33" i="2"/>
  <c r="F33" i="2"/>
  <c r="E33" i="2"/>
  <c r="D33" i="2"/>
  <c r="C33" i="2"/>
  <c r="B33" i="2"/>
  <c r="A33" i="2"/>
  <c r="J32" i="2"/>
  <c r="I32" i="2"/>
  <c r="H32" i="2"/>
  <c r="G32" i="2"/>
  <c r="F32" i="2"/>
  <c r="E32" i="2"/>
  <c r="D32" i="2"/>
  <c r="C32" i="2"/>
  <c r="B32" i="2"/>
  <c r="A32" i="2"/>
  <c r="J31" i="2"/>
  <c r="I31" i="2"/>
  <c r="H31" i="2"/>
  <c r="G31" i="2"/>
  <c r="F31" i="2"/>
  <c r="E31" i="2"/>
  <c r="D31" i="2"/>
  <c r="C31" i="2"/>
  <c r="B31" i="2"/>
  <c r="A31" i="2"/>
  <c r="J30" i="2"/>
  <c r="I30" i="2"/>
  <c r="H30" i="2"/>
  <c r="G30" i="2"/>
  <c r="F30" i="2"/>
  <c r="E30" i="2"/>
  <c r="D30" i="2"/>
  <c r="C30" i="2"/>
  <c r="B30" i="2"/>
  <c r="A30" i="2"/>
  <c r="J29" i="2"/>
  <c r="I29" i="2"/>
  <c r="H29" i="2"/>
  <c r="G29" i="2"/>
  <c r="F29" i="2"/>
  <c r="E29" i="2"/>
  <c r="D29" i="2"/>
  <c r="C29" i="2"/>
  <c r="B29" i="2"/>
  <c r="A29" i="2"/>
  <c r="J28" i="2"/>
  <c r="I28" i="2"/>
  <c r="H28" i="2"/>
  <c r="G28" i="2"/>
  <c r="F28" i="2"/>
  <c r="E28" i="2"/>
  <c r="D28" i="2"/>
  <c r="C28" i="2"/>
  <c r="B28" i="2"/>
  <c r="A28" i="2"/>
  <c r="J27" i="2"/>
  <c r="I27" i="2"/>
  <c r="H27" i="2"/>
  <c r="G27" i="2"/>
  <c r="F27" i="2"/>
  <c r="E27" i="2"/>
  <c r="D27" i="2"/>
  <c r="C27" i="2"/>
  <c r="B27" i="2"/>
  <c r="A27" i="2"/>
  <c r="J26" i="2"/>
  <c r="I26" i="2"/>
  <c r="H26" i="2"/>
  <c r="G26" i="2"/>
  <c r="F26" i="2"/>
  <c r="E26" i="2"/>
  <c r="D26" i="2"/>
  <c r="C26" i="2"/>
  <c r="B26" i="2"/>
  <c r="A26" i="2"/>
  <c r="J25" i="2"/>
  <c r="I25" i="2"/>
  <c r="H25" i="2"/>
  <c r="G25" i="2"/>
  <c r="F25" i="2"/>
  <c r="E25" i="2"/>
  <c r="D25" i="2"/>
  <c r="C25" i="2"/>
  <c r="B25" i="2"/>
  <c r="A25" i="2"/>
  <c r="J24" i="2"/>
  <c r="I24" i="2"/>
  <c r="H24" i="2"/>
  <c r="G24" i="2"/>
  <c r="F24" i="2"/>
  <c r="E24" i="2"/>
  <c r="D24" i="2"/>
  <c r="C24" i="2"/>
  <c r="B24" i="2"/>
  <c r="A24" i="2"/>
  <c r="J23" i="2"/>
  <c r="I23" i="2"/>
  <c r="H23" i="2"/>
  <c r="G23" i="2"/>
  <c r="F23" i="2"/>
  <c r="E23" i="2"/>
  <c r="D23" i="2"/>
  <c r="C23" i="2"/>
  <c r="B23" i="2"/>
  <c r="A23" i="2"/>
  <c r="J22" i="2"/>
  <c r="I22" i="2"/>
  <c r="H22" i="2"/>
  <c r="G22" i="2"/>
  <c r="F22" i="2"/>
  <c r="E22" i="2"/>
  <c r="D22" i="2"/>
  <c r="C22" i="2"/>
  <c r="B22" i="2"/>
  <c r="A22" i="2"/>
  <c r="I21" i="2"/>
  <c r="D21" i="2"/>
  <c r="C21" i="2"/>
  <c r="B21" i="2"/>
  <c r="A21" i="2"/>
  <c r="I20" i="2"/>
  <c r="G20" i="2"/>
  <c r="F20" i="2"/>
  <c r="E20" i="2"/>
  <c r="D20" i="2"/>
  <c r="C20" i="2"/>
  <c r="B20" i="2"/>
  <c r="A20" i="2"/>
  <c r="K9" i="2"/>
  <c r="G9" i="2"/>
  <c r="E5" i="2"/>
  <c r="M55" i="1"/>
  <c r="K55" i="1"/>
  <c r="L55" i="1" s="1"/>
  <c r="J55" i="1"/>
  <c r="I55" i="1"/>
  <c r="K54" i="1"/>
  <c r="L54" i="1" s="1"/>
  <c r="J54" i="1"/>
  <c r="M54" i="1" s="1"/>
  <c r="I54" i="1"/>
  <c r="K53" i="1"/>
  <c r="L53" i="1" s="1"/>
  <c r="J53" i="1"/>
  <c r="M53" i="1" s="1"/>
  <c r="I53" i="1"/>
  <c r="K52" i="1"/>
  <c r="L52" i="1" s="1"/>
  <c r="J52" i="1"/>
  <c r="M52" i="1" s="1"/>
  <c r="I52" i="1"/>
  <c r="K51" i="1"/>
  <c r="L51" i="1" s="1"/>
  <c r="J51" i="1"/>
  <c r="M51" i="1" s="1"/>
  <c r="I51" i="1"/>
  <c r="K50" i="1"/>
  <c r="L50" i="1" s="1"/>
  <c r="J50" i="1"/>
  <c r="M50" i="1" s="1"/>
  <c r="I50" i="1"/>
  <c r="M49" i="1"/>
  <c r="K49" i="1"/>
  <c r="L49" i="1" s="1"/>
  <c r="J49" i="1"/>
  <c r="I49" i="1"/>
  <c r="K48" i="1"/>
  <c r="L48" i="1" s="1"/>
  <c r="J48" i="1"/>
  <c r="M48" i="1" s="1"/>
  <c r="I48" i="1"/>
  <c r="K47" i="1"/>
  <c r="L47" i="1" s="1"/>
  <c r="J47" i="1"/>
  <c r="M47" i="1" s="1"/>
  <c r="I47" i="1"/>
  <c r="M46" i="1"/>
  <c r="L46" i="1"/>
  <c r="K46" i="1"/>
  <c r="J46" i="1"/>
  <c r="I46" i="1"/>
  <c r="K45" i="1"/>
  <c r="L45" i="1" s="1"/>
  <c r="J45" i="1"/>
  <c r="M45" i="1" s="1"/>
  <c r="I45" i="1"/>
  <c r="K44" i="1"/>
  <c r="L44" i="1" s="1"/>
  <c r="J44" i="1"/>
  <c r="M44" i="1" s="1"/>
  <c r="I44" i="1"/>
  <c r="M43" i="1"/>
  <c r="K43" i="1"/>
  <c r="L43" i="1" s="1"/>
  <c r="J43" i="1"/>
  <c r="I43" i="1"/>
  <c r="L42" i="1"/>
  <c r="K42" i="1"/>
  <c r="J42" i="1"/>
  <c r="M42" i="1" s="1"/>
  <c r="I42" i="1"/>
  <c r="K41" i="1"/>
  <c r="L41" i="1" s="1"/>
  <c r="J41" i="1"/>
  <c r="M41" i="1" s="1"/>
  <c r="I41" i="1"/>
  <c r="K40" i="1"/>
  <c r="L40" i="1" s="1"/>
  <c r="J40" i="1"/>
  <c r="M40" i="1" s="1"/>
  <c r="I40" i="1"/>
  <c r="M39" i="1"/>
  <c r="K39" i="1"/>
  <c r="L39" i="1" s="1"/>
  <c r="J39" i="1"/>
  <c r="I39" i="1"/>
  <c r="K38" i="1"/>
  <c r="L38" i="1" s="1"/>
  <c r="J38" i="1"/>
  <c r="M38" i="1" s="1"/>
  <c r="I38" i="1"/>
  <c r="K37" i="1"/>
  <c r="L37" i="1" s="1"/>
  <c r="J37" i="1"/>
  <c r="M37" i="1" s="1"/>
  <c r="I37" i="1"/>
  <c r="K36" i="1"/>
  <c r="L36" i="1" s="1"/>
  <c r="J36" i="1"/>
  <c r="M36" i="1" s="1"/>
  <c r="I36" i="1"/>
  <c r="K35" i="1"/>
  <c r="L35" i="1" s="1"/>
  <c r="J35" i="1"/>
  <c r="M35" i="1" s="1"/>
  <c r="I35" i="1"/>
  <c r="K34" i="1"/>
  <c r="L34" i="1" s="1"/>
  <c r="J34" i="1"/>
  <c r="M34" i="1" s="1"/>
  <c r="I34" i="1"/>
  <c r="M33" i="1"/>
  <c r="K33" i="1"/>
  <c r="L33" i="1" s="1"/>
  <c r="J33" i="1"/>
  <c r="I33" i="1"/>
  <c r="K32" i="1"/>
  <c r="L32" i="1" s="1"/>
  <c r="J32" i="1"/>
  <c r="M32" i="1" s="1"/>
  <c r="I32" i="1"/>
  <c r="K31" i="1"/>
  <c r="L31" i="1" s="1"/>
  <c r="J31" i="1"/>
  <c r="M31" i="1" s="1"/>
  <c r="I31" i="1"/>
  <c r="M30" i="1"/>
  <c r="L30" i="1"/>
  <c r="K30" i="1"/>
  <c r="J30" i="1"/>
  <c r="I30" i="1"/>
  <c r="K29" i="1"/>
  <c r="L29" i="1" s="1"/>
  <c r="J29" i="1"/>
  <c r="M29" i="1" s="1"/>
  <c r="I29" i="1"/>
  <c r="K28" i="1"/>
  <c r="L28" i="1" s="1"/>
  <c r="J28" i="1"/>
  <c r="M28" i="1" s="1"/>
  <c r="I28" i="1"/>
  <c r="M27" i="1"/>
  <c r="K27" i="1"/>
  <c r="L27" i="1" s="1"/>
  <c r="J27" i="1"/>
  <c r="I27" i="1"/>
  <c r="L26" i="1"/>
  <c r="K26" i="1"/>
  <c r="J26" i="1"/>
  <c r="M26" i="1" s="1"/>
  <c r="I26" i="1"/>
  <c r="K25" i="1"/>
  <c r="L25" i="1" s="1"/>
  <c r="J25" i="1"/>
  <c r="M25" i="1" s="1"/>
  <c r="I25" i="1"/>
  <c r="K24" i="1"/>
  <c r="L24" i="1" s="1"/>
  <c r="J24" i="1"/>
  <c r="M24" i="1" s="1"/>
  <c r="I24" i="1"/>
  <c r="M23" i="1"/>
  <c r="K23" i="1"/>
  <c r="L23" i="1" s="1"/>
  <c r="J23" i="1"/>
  <c r="I23" i="1"/>
  <c r="K22" i="1"/>
  <c r="L22" i="1" s="1"/>
  <c r="J22" i="1"/>
  <c r="M22" i="1" s="1"/>
  <c r="I22" i="1"/>
  <c r="K21" i="1"/>
  <c r="L21" i="1" s="1"/>
  <c r="J21" i="1"/>
  <c r="M21" i="1" s="1"/>
  <c r="I21" i="1"/>
  <c r="K20" i="1"/>
  <c r="L20" i="1" s="1"/>
  <c r="J20" i="1"/>
  <c r="M20" i="1" s="1"/>
  <c r="I20" i="1"/>
  <c r="K19" i="1"/>
  <c r="L19" i="1" s="1"/>
  <c r="J19" i="1"/>
  <c r="M19" i="1" s="1"/>
  <c r="I19" i="1"/>
  <c r="K18" i="1"/>
  <c r="L18" i="1" s="1"/>
  <c r="J18" i="1"/>
  <c r="M18" i="1" s="1"/>
  <c r="I18" i="1"/>
  <c r="M17" i="1"/>
  <c r="K17" i="1"/>
  <c r="L17" i="1" s="1"/>
  <c r="J17" i="1"/>
  <c r="I17" i="1"/>
  <c r="K16" i="1"/>
  <c r="L16" i="1" s="1"/>
  <c r="J16" i="1"/>
  <c r="M16" i="1" s="1"/>
  <c r="I16" i="1"/>
  <c r="K15" i="1"/>
  <c r="L15" i="1" s="1"/>
  <c r="J15" i="1"/>
  <c r="M15" i="1" s="1"/>
  <c r="I15" i="1"/>
  <c r="M14" i="1"/>
  <c r="L14" i="1"/>
  <c r="K14" i="1"/>
  <c r="J14" i="1"/>
  <c r="I14" i="1"/>
  <c r="K13" i="1"/>
  <c r="L13" i="1" s="1"/>
  <c r="J13" i="1"/>
  <c r="M13" i="1" s="1"/>
  <c r="I13" i="1"/>
  <c r="K12" i="1"/>
  <c r="L12" i="1" s="1"/>
  <c r="J12" i="1"/>
  <c r="M12" i="1" s="1"/>
  <c r="I12" i="1"/>
  <c r="M11" i="1"/>
  <c r="K11" i="1"/>
  <c r="L11" i="1" s="1"/>
  <c r="J11" i="1"/>
  <c r="I11" i="1"/>
  <c r="L10" i="1"/>
  <c r="K10" i="1"/>
  <c r="J10" i="1"/>
  <c r="M10" i="1" s="1"/>
  <c r="I10" i="1"/>
  <c r="K9" i="1"/>
  <c r="L9" i="1" s="1"/>
  <c r="J9" i="1"/>
  <c r="M9" i="1" s="1"/>
  <c r="I9" i="1"/>
  <c r="K8" i="1"/>
  <c r="L8" i="1" s="1"/>
  <c r="J8" i="1"/>
  <c r="I8" i="1"/>
  <c r="K7" i="1"/>
  <c r="L7" i="1" s="1"/>
  <c r="J21" i="2" s="1"/>
  <c r="J7" i="1"/>
  <c r="F21" i="2" s="1"/>
  <c r="K6" i="1"/>
  <c r="L6" i="1" s="1"/>
  <c r="J20" i="2" s="1"/>
  <c r="J6" i="1"/>
  <c r="M6" i="1" s="1"/>
  <c r="M7" i="1" l="1"/>
  <c r="H21" i="2" s="1"/>
  <c r="A9" i="2"/>
  <c r="C5" i="2"/>
  <c r="G5" i="2"/>
  <c r="I5" i="2"/>
  <c r="K5" i="2"/>
  <c r="E9" i="2"/>
  <c r="G21" i="2"/>
  <c r="C9" i="2"/>
  <c r="A5" i="2"/>
  <c r="A16" i="2"/>
  <c r="H20" i="2"/>
  <c r="M8" i="1"/>
  <c r="I9" i="2" s="1"/>
</calcChain>
</file>

<file path=xl/sharedStrings.xml><?xml version="1.0" encoding="utf-8"?>
<sst xmlns="http://schemas.openxmlformats.org/spreadsheetml/2006/main" count="143" uniqueCount="133">
  <si>
    <t>GarAI Momentum Scanner — Trade Log</t>
  </si>
  <si>
    <t>£50 starting capital  |  Target: +10% per trade  |  Hard exit: 14:45 BST  |  98 trades to £1,000,000</t>
  </si>
  <si>
    <t>TRADE DETAILS</t>
  </si>
  <si>
    <t>RESULTS</t>
  </si>
  <si>
    <t>SCANNER DATA</t>
  </si>
  <si>
    <t>CONTEXT</t>
  </si>
  <si>
    <t>Date</t>
  </si>
  <si>
    <t>Ticker</t>
  </si>
  <si>
    <t>Entry Time
(BST)</t>
  </si>
  <si>
    <t>Exit Time
(BST)</t>
  </si>
  <si>
    <t>Entry
Price ($)</t>
  </si>
  <si>
    <t>Exit
Price ($)</t>
  </si>
  <si>
    <t>FX Rate
(£1=$)</t>
  </si>
  <si>
    <t>Shares
Bought</t>
  </si>
  <si>
    <t>Capital
In (£)</t>
  </si>
  <si>
    <t>Return
(£)</t>
  </si>
  <si>
    <t>Return
(%)</t>
  </si>
  <si>
    <t>Win / Loss</t>
  </si>
  <si>
    <t>Running
Bank (£)</t>
  </si>
  <si>
    <t>Morning
Score</t>
  </si>
  <si>
    <t>Gap %</t>
  </si>
  <si>
    <t>RVOL</t>
  </si>
  <si>
    <t>Pre-trade
Check</t>
  </si>
  <si>
    <t>Why I
Picked It</t>
  </si>
  <si>
    <t>Notes /
What Happened</t>
  </si>
  <si>
    <t>SPCE</t>
  </si>
  <si>
    <t>13:10</t>
  </si>
  <si>
    <t>14:45</t>
  </si>
  <si>
    <t>🟢 Green</t>
  </si>
  <si>
    <t>Top scoring ticker on 01/06/2026. Score 12.75, RVOL 4.55. First ever trade.</t>
  </si>
  <si>
    <t>Trade 1 complete. Entry: $7.52 at 13:10 BST (FX 1.34658999). Exit: $7.61 at 14:45 BST (FX 1.34250176). Target $8.27 was touched at ~13:45 but OTC limit order did not execute. Manual sell at hard exit time. KEY LESSON: When target price is touched, sell manually immediately. Do not rely on limit orders in OTC premarket conditions.</t>
  </si>
  <si>
    <t>GarAI — Strategy Performance Summary</t>
  </si>
  <si>
    <t>Auto-calculated from Trade Log tab</t>
  </si>
  <si>
    <t>Current Bank</t>
  </si>
  <si>
    <t>Total P&amp;L</t>
  </si>
  <si>
    <t>Total Trades</t>
  </si>
  <si>
    <t>Wins</t>
  </si>
  <si>
    <t>Losses</t>
  </si>
  <si>
    <t>Win Rate</t>
  </si>
  <si>
    <t>Avg Return %</t>
  </si>
  <si>
    <t>Best Trade</t>
  </si>
  <si>
    <t>Worst Trade</t>
  </si>
  <si>
    <t>Trades to Target</t>
  </si>
  <si>
    <t>Avg Score</t>
  </si>
  <si>
    <t>Avg Gap %</t>
  </si>
  <si>
    <t>PROGRESS TO £1,000,000</t>
  </si>
  <si>
    <t>Entry</t>
  </si>
  <si>
    <t>Exit</t>
  </si>
  <si>
    <t>Return (£)</t>
  </si>
  <si>
    <t>Return (%)</t>
  </si>
  <si>
    <t>Win/Loss</t>
  </si>
  <si>
    <t>Score</t>
  </si>
  <si>
    <t>Running Bank</t>
  </si>
  <si>
    <t>How to Use This Trade Tracker</t>
  </si>
  <si>
    <t>WHAT TO FILL IN (blue cells in Trade Log)</t>
  </si>
  <si>
    <t>The date you made the trade. Format DD/MM/YYYY.</t>
  </si>
  <si>
    <t>The stock ticker, e.g. CPSH, HUBC, MUZE.</t>
  </si>
  <si>
    <t>Entry Time (BST)</t>
  </si>
  <si>
    <t>When you bought. Should be between 13:30 and 14:15 BST.</t>
  </si>
  <si>
    <t>Exit Time (BST)</t>
  </si>
  <si>
    <t>When you sold. Should be at your +10% target or 14:45 BST hard exit.</t>
  </si>
  <si>
    <t>Entry Price ($)</t>
  </si>
  <si>
    <t>The price per share in US dollars — copy directly from the Trading 212 confirmation. Do NOT convert manually; the tracker does it for you.</t>
  </si>
  <si>
    <t>Exit Price ($)</t>
  </si>
  <si>
    <t>The exit price per share in US dollars. Copy from your Trading 212 sell confirmation.</t>
  </si>
  <si>
    <t>FX Rate (£1=$)</t>
  </si>
  <si>
    <t>Copy the exchange rate shown on your Trading 212 trade confirmation (e.g. 1.34658999). This converts your dollar prices to pounds automatically. It changes slightly each day so copy the exact figure each time.</t>
  </si>
  <si>
    <t>Shares Bought</t>
  </si>
  <si>
    <t>How many shares you bought.</t>
  </si>
  <si>
    <t>Morning Score</t>
  </si>
  <si>
    <t>The score from the dashboard at 13:00 BST. Copy from the Trade Today tab.</t>
  </si>
  <si>
    <t>The gap_pct from the dashboard. Copy directly.</t>
  </si>
  <si>
    <t>The RVOL from the dashboard.</t>
  </si>
  <si>
    <t>Pre-trade Check</t>
  </si>
  <si>
    <t>What the traffic light showed at 14:00 BST. Pick from dropdown: Green / Amber / Red.</t>
  </si>
  <si>
    <t>Why I Picked It</t>
  </si>
  <si>
    <t>In your own words — what made you choose this ticker over the others?</t>
  </si>
  <si>
    <t>Notes / What Happened</t>
  </si>
  <si>
    <t>Anything worth remembering — did it spike and drop? Did news break? Did you hesitate?</t>
  </si>
  <si>
    <t>WHAT IS CALCULATED AUTOMATICALLY (black cells)</t>
  </si>
  <si>
    <t>Capital In (£)</t>
  </si>
  <si>
    <t>Entry Price × Shares Bought. What you spent.</t>
  </si>
  <si>
    <t>Profit or loss in pounds.</t>
  </si>
  <si>
    <t>Percentage return. ✅ Win = 10%+. ⚠️ Partial = 0-9.99%. ❌ Loss = below 0%.</t>
  </si>
  <si>
    <t>Running Bank (£)</t>
  </si>
  <si>
    <t>Your cumulative total from the starting £50. This is the number that needs to reach £1,000,000.</t>
  </si>
  <si>
    <t>TIPS</t>
  </si>
  <si>
    <t>Fill in immediately</t>
  </si>
  <si>
    <t>Log the trade straight after you close it while the details are fresh.</t>
  </si>
  <si>
    <t>Be honest in the notes</t>
  </si>
  <si>
    <t>The notes column is for you. If you panic-sold early or ignored the red light, write it down. That's the data that improves your decision-making.</t>
  </si>
  <si>
    <t>Check the Summary tab</t>
  </si>
  <si>
    <t>The Summary tab updates automatically. Check your win rate and average return after every 10 trades.</t>
  </si>
  <si>
    <t>Export to CSV for the dashboard</t>
  </si>
  <si>
    <t>Once a week, save a copy as trades.csv and commit it to your GitHub repo. The dashboard will then show your running performance publicly.</t>
  </si>
  <si>
    <t>THE MATHS</t>
  </si>
  <si>
    <t>Starting capital</t>
  </si>
  <si>
    <t>£50</t>
  </si>
  <si>
    <t>Target per trade</t>
  </si>
  <si>
    <t>+10%</t>
  </si>
  <si>
    <t>Trades needed</t>
  </si>
  <si>
    <t>98 (compounding)</t>
  </si>
  <si>
    <t>Hard exit rule</t>
  </si>
  <si>
    <t>14:45 BST — always. No exceptions.</t>
  </si>
  <si>
    <t>One-Click Export Setup — do this once</t>
  </si>
  <si>
    <t>STEP 1</t>
  </si>
  <si>
    <t>Save this file as a macro-enabled workbook</t>
  </si>
  <si>
    <t>Click File → Save As → change file type to 'Excel Macro-Enabled Workbook (*.xlsm)' → Save</t>
  </si>
  <si>
    <t>Save it to: C:\Projects\market-universe-generator\GarAI_Trade_Tracker.xlsm</t>
  </si>
  <si>
    <t>STEP 2</t>
  </si>
  <si>
    <t>Open the VBA editor</t>
  </si>
  <si>
    <t>Press Alt + F11 to open the Visual Basic editor</t>
  </si>
  <si>
    <t>STEP 3</t>
  </si>
  <si>
    <t>Add the macro</t>
  </si>
  <si>
    <t>In the VBA editor: click Insert → Module</t>
  </si>
  <si>
    <t>Then paste the entire code block below into the blank module window</t>
  </si>
  <si>
    <t>Press Ctrl+S to save, then close the VBA editor</t>
  </si>
  <si>
    <t>STEP 4</t>
  </si>
  <si>
    <t>Add a button to the Trade Log sheet</t>
  </si>
  <si>
    <t>Go back to the Trade Log sheet</t>
  </si>
  <si>
    <t>Click Insert → Illustrations → Shapes → pick a rounded rectangle</t>
  </si>
  <si>
    <t>Draw it somewhere convenient (top right area, above the headers)</t>
  </si>
  <si>
    <t>Right-click the shape → Edit Text → type: Export to GitHub</t>
  </si>
  <si>
    <t>Right-click the shape → Assign Macro → select ExportTradesToCSV → OK</t>
  </si>
  <si>
    <t>DONE</t>
  </si>
  <si>
    <t>Every time you log a trade, click that button.</t>
  </si>
  <si>
    <t>It will save trades.csv directly to C:\Projects\market-universe-generator\</t>
  </si>
  <si>
    <t>Then just open GitHub Desktop and push — or use git push in the terminal.</t>
  </si>
  <si>
    <t>PASTE THIS CODE INTO THE VBA MODULE (Step 3)</t>
  </si>
  <si>
    <t>Sub ExportTradesToCSV()
    Dim ws As Worksheet
    Dim outputPath As String
    Dim fileNum As Integer
    Dim lastRow As Long
    Dim i As Long
    Dim lineOut As String
    Dim cell As Range
    Dim values(18) As String
    Set ws = ThisWorkbook.Sheets("Trade Log")
    ' Path to your GitHub repo folder — update this if yours is different
    outputPath = "C:\Projects\market-universe-generator\trades.csv"
    ' Find last row with a ticker
    lastRow = 5
    Do While ws.Cells(lastRow + 1, 2).Value &lt;&gt; ""
        lastRow = lastRow + 1
    Loop
    If lastRow &lt; 6 Then
        MsgBox "No trades found to export.", vbInformation
        Exit Sub
    End If
    ' Write the CSV
    fileNum = FreeFile
    Open outputPath For Output As #fileNum
    ' Header row — must match trades.csv column names used by the dashboard
    Print #fileNum, "date,ticker,entry_time,exit_time,entry_price,exit_price,shares,score,gap_pct,rvol,pretrade_check,running_bank,why_picked,notes"
    ' Data rows (row 6 onwards)
    For i = 6 To lastRow
        Dim dateVal As String
        Dim entryPrice As String
        Dim exitPrice As String
        Dim shares As String
        Dim score As String
        Dim gap As String
        Dim rvol As String
        Dim bank As String
        ' Date — format as DD/MM/YYYY
        If IsDate(ws.Cells(i, 1).Value) Then
            dateVal = Format(ws.Cells(i, 1).Value, "DD/MM/YYYY")
        Else
            dateVal = ws.Cells(i, 1).Value
        End If
        ' Numeric fields — handle empty cells
        entryPrice = IIf(ws.Cells(i, 5).Value = "", "", ws.Cells(i, 5).Value)
        exitPrice  = IIf(ws.Cells(i, 6).Value = "", "", ws.Cells(i, 6).Value)
        shares     = IIf(ws.Cells(i, 8).Value = "", "", ws.Cells(i, 8).Value)
        score      = IIf(ws.Cells(i, 14).Value = "", "", ws.Cells(i, 14).Value)
        gap        = IIf(ws.Cells(i, 15).Value = "", "", ws.Cells(i, 15).Value)
        rvol       = IIf(ws.Cells(i, 16).Value = "", "", ws.Cells(i, 16).Value)
        ' Running bank — read from calculated cell (col M = 13)
        Dim bankCell As String
        If ws.Cells(i, 13).Value = "" Then
            bank = ""
        Else
            bank = Round(ws.Cells(i, 13).Value, 2)
        End If
        ' Text fields — wrap in quotes to handle commas
        Dim ticker      As String: ticker      = """" &amp; ws.Cells(i, 2).Value &amp; """"
        Dim entryTime   As String: entryTime   = """" &amp; ws.Cells(i, 3).Value &amp; """"
        Dim exitTime    As String: exitTime    = """" &amp; ws.Cells(i, 4).Value &amp; """"
        Dim preCheck    As String: preCheck    = """" &amp; ws.Cells(i, 17).Value &amp; """"
        Dim whyPicked   As String: whyPicked   = """" &amp; Replace(ws.Cells(i, 18).Value, """", "''") &amp; """"
        Dim notes       As String: notes       = """" &amp; Replace(ws.Cells(i, 19).Value, """", "''") &amp; """"
        lineOut = dateVal &amp; "," &amp; ticker &amp; "," &amp; entryTime &amp; "," &amp; exitTime &amp; "," &amp; _
                  entryPrice &amp; "," &amp; exitPrice &amp; "," &amp; shares &amp; "," &amp; _
                  score &amp; "," &amp; gap &amp; "," &amp; rvol &amp; "," &amp; _
                  preCheck &amp; "," &amp; bank &amp; "," &amp; whyPicked &amp; "," &amp; notes
        Print #fileNum, lineOut
    Next i
    Close #fileNum
    MsgBox "trades.csv exported successfully!" &amp; Chr(13) &amp; _
           "Now open GitHub Desktop and push the change.", vbInformation, "Export complete"
End Sub</t>
  </si>
  <si>
    <t>NAMM</t>
  </si>
  <si>
    <t>Top scoring ticker on 02/06/202.</t>
  </si>
  <si>
    <t>noticed some iissues with the code and was trying to deal with them real time so score might not be accurate, system advasied against the trade but I did it anyway as I had a feeling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</si>
</sst>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0"/>
    <numFmt numFmtId="165" formatCode="\£#,##0.00"/>
    <numFmt numFmtId="166" formatCode="\£#,##0.00;\(\£#,##0.00\)"/>
    <numFmt numFmtId="167" formatCode="0.00&quot;%&quot;"/>
    <numFmt numFmtId="168" formatCode="0.0%"/>
    <numFmt numFmtId="169" formatCode="0.0"/>
    <numFmt numFmtId="170" formatCode="&quot;$&quot;#,##0.0000"/>
    <numFmt numFmtId="171" formatCode="0.00000000"/>
    <numFmt numFmtId="175" formatCode="h:mm"/>
  </numFmts>
  <fonts count="22">
    <font>
      <sz val="11"/>
      <color theme="1"/>
      <name val="Calibri"/>
      <family val="2"/>
      <scheme val="minor"/>
    </font>
    <font>
      <b/>
      <sz val="16"/>
      <color rgb="FFFFFFFF"/>
      <name val="Arial"/>
    </font>
    <font>
      <i/>
      <sz val="10"/>
      <color rgb="FFAAAAAA"/>
      <name val="Arial"/>
    </font>
    <font>
      <b/>
      <sz val="8"/>
      <color rgb="FFFFFFFF"/>
      <name val="Arial"/>
    </font>
    <font>
      <b/>
      <sz val="9"/>
      <color rgb="FFDDDDDD"/>
      <name val="Arial"/>
    </font>
    <font>
      <sz val="10"/>
      <color rgb="FF000000"/>
      <name val="Arial"/>
    </font>
    <font>
      <sz val="10"/>
      <color rgb="FF000080"/>
      <name val="Arial"/>
    </font>
    <font>
      <b/>
      <sz val="10"/>
      <color rgb="FF000080"/>
      <name val="Arial"/>
    </font>
    <font>
      <b/>
      <sz val="9"/>
      <color rgb="FFFFFFFF"/>
      <name val="Arial"/>
    </font>
    <font>
      <b/>
      <sz val="18"/>
      <color rgb="FF111111"/>
      <name val="Arial"/>
    </font>
    <font>
      <b/>
      <sz val="11"/>
      <color rgb="FFFFFFFF"/>
      <name val="Arial"/>
    </font>
    <font>
      <b/>
      <sz val="12"/>
      <color rgb="FF111111"/>
      <name val="Arial"/>
    </font>
    <font>
      <sz val="9"/>
      <name val="Arial"/>
    </font>
    <font>
      <b/>
      <sz val="10"/>
      <color rgb="FFFFFFFF"/>
      <name val="Arial"/>
    </font>
    <font>
      <b/>
      <sz val="10"/>
      <color rgb="FF222222"/>
      <name val="Arial"/>
    </font>
    <font>
      <sz val="10"/>
      <color rgb="FF333333"/>
      <name val="Arial"/>
    </font>
    <font>
      <sz val="10"/>
      <name val="Arial"/>
    </font>
    <font>
      <b/>
      <sz val="14"/>
      <color rgb="FFFFFFFF"/>
      <name val="Arial"/>
    </font>
    <font>
      <sz val="10"/>
      <color rgb="FF222222"/>
      <name val="Arial"/>
    </font>
    <font>
      <sz val="9"/>
      <color rgb="FF00AA00"/>
      <name val="Courier New"/>
    </font>
    <font>
      <sz val="8"/>
      <name val="Calibri"/>
      <family val="2"/>
      <scheme val="minor"/>
    </font>
    <font>
      <sz val="10"/>
      <color theme="1"/>
      <name val="Arial Unicode MS"/>
    </font>
  </fonts>
  <fills count="17">
    <fill>
      <patternFill patternType="none"/>
    </fill>
    <fill>
      <patternFill patternType="gray125"/>
    </fill>
    <fill>
      <patternFill patternType="solid">
        <fgColor rgb="FF1A1A2E"/>
      </patternFill>
    </fill>
    <fill>
      <patternFill patternType="solid">
        <fgColor rgb="FF1A3A5C"/>
      </patternFill>
    </fill>
    <fill>
      <patternFill patternType="solid">
        <fgColor rgb="FF0D3D2E"/>
      </patternFill>
    </fill>
    <fill>
      <patternFill patternType="solid">
        <fgColor rgb="FF3D2D00"/>
      </patternFill>
    </fill>
    <fill>
      <patternFill patternType="solid">
        <fgColor rgb="FF2E1A4A"/>
      </patternFill>
    </fill>
    <fill>
      <patternFill patternType="solid">
        <fgColor rgb="FFD6EAF8"/>
      </patternFill>
    </fill>
    <fill>
      <patternFill patternType="solid">
        <fgColor rgb="FFF5F5F5"/>
      </patternFill>
    </fill>
    <fill>
      <patternFill patternType="solid">
        <fgColor rgb="FFEBF5FB"/>
      </patternFill>
    </fill>
    <fill>
      <patternFill patternType="solid">
        <fgColor rgb="FFFFFFFF"/>
      </patternFill>
    </fill>
    <fill>
      <patternFill patternType="solid">
        <fgColor rgb="FF2E5FA3"/>
      </patternFill>
    </fill>
    <fill>
      <patternFill patternType="solid">
        <fgColor rgb="FF1D9E75"/>
      </patternFill>
    </fill>
    <fill>
      <patternFill patternType="solid">
        <fgColor rgb="FFC0392B"/>
      </patternFill>
    </fill>
    <fill>
      <patternFill patternType="solid">
        <fgColor rgb="FF6B3FA0"/>
      </patternFill>
    </fill>
    <fill>
      <patternFill patternType="solid">
        <fgColor rgb="FFF8F9FA"/>
      </patternFill>
    </fill>
    <fill>
      <patternFill patternType="solid">
        <fgColor rgb="FF1A1A1A"/>
      </patternFill>
    </fill>
  </fills>
  <borders count="15">
    <border>
      <left/>
      <right/>
      <top/>
      <bottom/>
      <diagonal/>
    </border>
    <border>
      <left style="thin">
        <color rgb="FF444444"/>
      </left>
      <right style="thin">
        <color rgb="FF444444"/>
      </right>
      <top style="thin">
        <color rgb="FF444444"/>
      </top>
      <bottom style="thin">
        <color rgb="FF444444"/>
      </bottom>
      <diagonal/>
    </border>
    <border>
      <left style="thin">
        <color rgb="FF333333"/>
      </left>
      <right style="thin">
        <color rgb="FF333333"/>
      </right>
      <top style="thin">
        <color rgb="FF333333"/>
      </top>
      <bottom style="thin">
        <color rgb="FF333333"/>
      </bottom>
      <diagonal/>
    </border>
    <border>
      <left style="thin">
        <color rgb="FFDDDDDD"/>
      </left>
      <right style="thin">
        <color rgb="FFDDDDDD"/>
      </right>
      <top style="thin">
        <color rgb="FFDDDDDD"/>
      </top>
      <bottom style="thin">
        <color rgb="FFDDDDDD"/>
      </bottom>
      <diagonal/>
    </border>
    <border>
      <left style="thin">
        <color rgb="FFCCCCCC"/>
      </left>
      <right style="thin">
        <color rgb="FFCCCCCC"/>
      </right>
      <top style="thin">
        <color rgb="FFCCCCCC"/>
      </top>
      <bottom style="thin">
        <color rgb="FFCCCCCC"/>
      </bottom>
      <diagonal/>
    </border>
    <border>
      <left style="thin">
        <color rgb="FFEEEEEE"/>
      </left>
      <right style="thin">
        <color rgb="FFEEEEEE"/>
      </right>
      <top style="thin">
        <color rgb="FFEEEEEE"/>
      </top>
      <bottom style="thin">
        <color rgb="FFEEEEEE"/>
      </bottom>
      <diagonal/>
    </border>
    <border>
      <left style="thin">
        <color rgb="FFAAAAAA"/>
      </left>
      <right style="thin">
        <color rgb="FFAAAAAA"/>
      </right>
      <top style="thin">
        <color rgb="FFAAAAAA"/>
      </top>
      <bottom style="thin">
        <color rgb="FFAAAAAA"/>
      </bottom>
      <diagonal/>
    </border>
    <border>
      <left/>
      <right/>
      <top style="thin">
        <color rgb="FF444444"/>
      </top>
      <bottom style="thin">
        <color rgb="FF444444"/>
      </bottom>
      <diagonal/>
    </border>
    <border>
      <left/>
      <right style="thin">
        <color rgb="FF444444"/>
      </right>
      <top style="thin">
        <color rgb="FF444444"/>
      </top>
      <bottom style="thin">
        <color rgb="FF444444"/>
      </bottom>
      <diagonal/>
    </border>
    <border>
      <left/>
      <right/>
      <top style="thin">
        <color rgb="FFCCCCCC"/>
      </top>
      <bottom style="thin">
        <color rgb="FFCCCCCC"/>
      </bottom>
      <diagonal/>
    </border>
    <border>
      <left/>
      <right style="thin">
        <color rgb="FFCCCCCC"/>
      </right>
      <top style="thin">
        <color rgb="FFCCCCCC"/>
      </top>
      <bottom style="thin">
        <color rgb="FFCCCCCC"/>
      </bottom>
      <diagonal/>
    </border>
    <border>
      <left/>
      <right style="thin">
        <color rgb="FF333333"/>
      </right>
      <top style="thin">
        <color rgb="FF333333"/>
      </top>
      <bottom style="thin">
        <color rgb="FF333333"/>
      </bottom>
      <diagonal/>
    </border>
    <border>
      <left/>
      <right/>
      <top style="thin">
        <color rgb="FFAAAAAA"/>
      </top>
      <bottom style="thin">
        <color rgb="FFAAAAAA"/>
      </bottom>
      <diagonal/>
    </border>
    <border>
      <left/>
      <right style="thin">
        <color rgb="FFAAAAAA"/>
      </right>
      <top style="thin">
        <color rgb="FFAAAAAA"/>
      </top>
      <bottom style="thin">
        <color rgb="FFAAAAAA"/>
      </bottom>
      <diagonal/>
    </border>
    <border>
      <left style="thin">
        <color rgb="FF1A3A5C"/>
      </left>
      <right style="thin">
        <color rgb="FF1A3A5C"/>
      </right>
      <top style="thin">
        <color rgb="FF1A3A5C"/>
      </top>
      <bottom style="thin">
        <color rgb="FF1A3A5C"/>
      </bottom>
      <diagonal/>
    </border>
  </borders>
  <cellStyleXfs count="1">
    <xf numFmtId="0" fontId="0" fillId="0" borderId="0"/>
  </cellStyleXfs>
  <cellXfs count="83">
    <xf numFmtId="0" fontId="0" fillId="0" borderId="0" xfId="0"/>
    <xf numFmtId="0" fontId="4" fillId="3" borderId="2"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14" fontId="5" fillId="7" borderId="3" xfId="0" applyNumberFormat="1" applyFont="1" applyFill="1" applyBorder="1" applyAlignment="1">
      <alignment horizontal="center" vertical="center" wrapText="1"/>
    </xf>
    <xf numFmtId="0" fontId="5" fillId="7" borderId="3" xfId="0" applyFont="1" applyFill="1" applyBorder="1" applyAlignment="1">
      <alignment horizontal="center" vertical="center" wrapText="1"/>
    </xf>
    <xf numFmtId="165" fontId="6" fillId="8" borderId="3" xfId="0" applyNumberFormat="1" applyFont="1" applyFill="1" applyBorder="1" applyAlignment="1">
      <alignment horizontal="center" vertical="center" wrapText="1"/>
    </xf>
    <xf numFmtId="166" fontId="6" fillId="8" borderId="3" xfId="0" applyNumberFormat="1" applyFont="1" applyFill="1" applyBorder="1" applyAlignment="1">
      <alignment horizontal="center" vertical="center" wrapText="1"/>
    </xf>
    <xf numFmtId="167" fontId="6" fillId="8" borderId="3" xfId="0" applyNumberFormat="1" applyFont="1" applyFill="1" applyBorder="1" applyAlignment="1">
      <alignment horizontal="center" vertical="center" wrapText="1"/>
    </xf>
    <xf numFmtId="0" fontId="6" fillId="8" borderId="3" xfId="0" applyFont="1" applyFill="1" applyBorder="1" applyAlignment="1">
      <alignment horizontal="center" vertical="center" wrapText="1"/>
    </xf>
    <xf numFmtId="165" fontId="7" fillId="8" borderId="3" xfId="0" applyNumberFormat="1" applyFont="1" applyFill="1" applyBorder="1" applyAlignment="1">
      <alignment horizontal="center" vertical="center" wrapText="1"/>
    </xf>
    <xf numFmtId="167" fontId="5" fillId="7" borderId="3" xfId="0" applyNumberFormat="1" applyFont="1" applyFill="1" applyBorder="1" applyAlignment="1">
      <alignment horizontal="center" vertical="center" wrapText="1"/>
    </xf>
    <xf numFmtId="14" fontId="5" fillId="9" borderId="3" xfId="0" applyNumberFormat="1" applyFont="1" applyFill="1" applyBorder="1" applyAlignment="1">
      <alignment horizontal="center" vertical="center" wrapText="1"/>
    </xf>
    <xf numFmtId="0" fontId="5" fillId="9" borderId="3" xfId="0" applyFont="1" applyFill="1" applyBorder="1" applyAlignment="1">
      <alignment horizontal="center" vertical="center" wrapText="1"/>
    </xf>
    <xf numFmtId="165" fontId="6" fillId="10" borderId="3" xfId="0" applyNumberFormat="1" applyFont="1" applyFill="1" applyBorder="1" applyAlignment="1">
      <alignment horizontal="center" vertical="center" wrapText="1"/>
    </xf>
    <xf numFmtId="166" fontId="6" fillId="10" borderId="3" xfId="0" applyNumberFormat="1" applyFont="1" applyFill="1" applyBorder="1" applyAlignment="1">
      <alignment horizontal="center" vertical="center" wrapText="1"/>
    </xf>
    <xf numFmtId="167" fontId="6" fillId="10" borderId="3" xfId="0" applyNumberFormat="1" applyFont="1" applyFill="1" applyBorder="1" applyAlignment="1">
      <alignment horizontal="center" vertical="center" wrapText="1"/>
    </xf>
    <xf numFmtId="0" fontId="6" fillId="10" borderId="3" xfId="0" applyFont="1" applyFill="1" applyBorder="1" applyAlignment="1">
      <alignment horizontal="center" vertical="center" wrapText="1"/>
    </xf>
    <xf numFmtId="165" fontId="7" fillId="10" borderId="3" xfId="0" applyNumberFormat="1" applyFont="1" applyFill="1" applyBorder="1" applyAlignment="1">
      <alignment horizontal="center" vertical="center" wrapText="1"/>
    </xf>
    <xf numFmtId="167" fontId="5" fillId="9" borderId="3" xfId="0" applyNumberFormat="1" applyFont="1" applyFill="1" applyBorder="1" applyAlignment="1">
      <alignment horizontal="center" vertical="center" wrapText="1"/>
    </xf>
    <xf numFmtId="0" fontId="8" fillId="2" borderId="2" xfId="0" applyFont="1" applyFill="1" applyBorder="1" applyAlignment="1">
      <alignment horizontal="center" vertical="center" wrapText="1"/>
    </xf>
    <xf numFmtId="14" fontId="12" fillId="8" borderId="5" xfId="0" applyNumberFormat="1" applyFont="1" applyFill="1" applyBorder="1" applyAlignment="1">
      <alignment horizontal="center" vertical="center" wrapText="1"/>
    </xf>
    <xf numFmtId="0" fontId="12" fillId="8" borderId="5" xfId="0" applyFont="1" applyFill="1" applyBorder="1" applyAlignment="1">
      <alignment horizontal="center" vertical="center" wrapText="1"/>
    </xf>
    <xf numFmtId="164" fontId="12" fillId="8" borderId="5" xfId="0" applyNumberFormat="1" applyFont="1" applyFill="1" applyBorder="1" applyAlignment="1">
      <alignment horizontal="center" vertical="center" wrapText="1"/>
    </xf>
    <xf numFmtId="166" fontId="12" fillId="8" borderId="5" xfId="0" applyNumberFormat="1" applyFont="1" applyFill="1" applyBorder="1" applyAlignment="1">
      <alignment horizontal="center" vertical="center" wrapText="1"/>
    </xf>
    <xf numFmtId="167" fontId="12" fillId="8" borderId="5" xfId="0" applyNumberFormat="1" applyFont="1" applyFill="1" applyBorder="1" applyAlignment="1">
      <alignment horizontal="center" vertical="center" wrapText="1"/>
    </xf>
    <xf numFmtId="165" fontId="12" fillId="8" borderId="5" xfId="0" applyNumberFormat="1" applyFont="1" applyFill="1" applyBorder="1" applyAlignment="1">
      <alignment horizontal="center" vertical="center" wrapText="1"/>
    </xf>
    <xf numFmtId="14" fontId="12" fillId="10" borderId="5" xfId="0" applyNumberFormat="1" applyFont="1" applyFill="1" applyBorder="1" applyAlignment="1">
      <alignment horizontal="center" vertical="center" wrapText="1"/>
    </xf>
    <xf numFmtId="0" fontId="12" fillId="10" borderId="5" xfId="0" applyFont="1" applyFill="1" applyBorder="1" applyAlignment="1">
      <alignment horizontal="center" vertical="center" wrapText="1"/>
    </xf>
    <xf numFmtId="164" fontId="12" fillId="10" borderId="5" xfId="0" applyNumberFormat="1" applyFont="1" applyFill="1" applyBorder="1" applyAlignment="1">
      <alignment horizontal="center" vertical="center" wrapText="1"/>
    </xf>
    <xf numFmtId="166" fontId="12" fillId="10" borderId="5" xfId="0" applyNumberFormat="1" applyFont="1" applyFill="1" applyBorder="1" applyAlignment="1">
      <alignment horizontal="center" vertical="center" wrapText="1"/>
    </xf>
    <xf numFmtId="167" fontId="12" fillId="10" borderId="5" xfId="0" applyNumberFormat="1" applyFont="1" applyFill="1" applyBorder="1" applyAlignment="1">
      <alignment horizontal="center" vertical="center" wrapText="1"/>
    </xf>
    <xf numFmtId="165" fontId="12" fillId="10" borderId="5" xfId="0" applyNumberFormat="1" applyFont="1" applyFill="1" applyBorder="1" applyAlignment="1">
      <alignment horizontal="center" vertical="center" wrapText="1"/>
    </xf>
    <xf numFmtId="0" fontId="13" fillId="11" borderId="6" xfId="0" applyFont="1" applyFill="1" applyBorder="1" applyAlignment="1">
      <alignment horizontal="left" vertical="center" wrapText="1"/>
    </xf>
    <xf numFmtId="0" fontId="14" fillId="8" borderId="3" xfId="0" applyFont="1" applyFill="1" applyBorder="1" applyAlignment="1">
      <alignment horizontal="left" vertical="center" wrapText="1"/>
    </xf>
    <xf numFmtId="0" fontId="15" fillId="10" borderId="3" xfId="0" applyFont="1" applyFill="1" applyBorder="1" applyAlignment="1">
      <alignment horizontal="left" vertical="center" wrapText="1"/>
    </xf>
    <xf numFmtId="170" fontId="5" fillId="7" borderId="3" xfId="0" applyNumberFormat="1" applyFont="1" applyFill="1" applyBorder="1" applyAlignment="1">
      <alignment horizontal="center" vertical="center" wrapText="1"/>
    </xf>
    <xf numFmtId="171" fontId="5" fillId="7" borderId="3" xfId="0" applyNumberFormat="1" applyFont="1" applyFill="1" applyBorder="1" applyAlignment="1">
      <alignment horizontal="center" vertical="center" wrapText="1"/>
    </xf>
    <xf numFmtId="170" fontId="5" fillId="9" borderId="3" xfId="0" applyNumberFormat="1" applyFont="1" applyFill="1" applyBorder="1" applyAlignment="1">
      <alignment horizontal="center" vertical="center" wrapText="1"/>
    </xf>
    <xf numFmtId="171" fontId="16" fillId="9" borderId="3" xfId="0" applyNumberFormat="1" applyFont="1" applyFill="1" applyBorder="1" applyAlignment="1">
      <alignment horizontal="center" vertical="center" wrapText="1"/>
    </xf>
    <xf numFmtId="171" fontId="5" fillId="9" borderId="3" xfId="0" applyNumberFormat="1" applyFont="1" applyFill="1" applyBorder="1" applyAlignment="1">
      <alignment horizontal="center" vertical="center" wrapText="1"/>
    </xf>
    <xf numFmtId="171" fontId="16" fillId="7" borderId="3" xfId="0" applyNumberFormat="1" applyFont="1" applyFill="1" applyBorder="1" applyAlignment="1">
      <alignment horizontal="center" vertical="center" wrapText="1"/>
    </xf>
    <xf numFmtId="0" fontId="0" fillId="0" borderId="12" xfId="0" applyBorder="1"/>
    <xf numFmtId="0" fontId="0" fillId="0" borderId="13" xfId="0" applyBorder="1"/>
    <xf numFmtId="0" fontId="14" fillId="8" borderId="3" xfId="0" applyFont="1" applyFill="1" applyBorder="1" applyAlignment="1">
      <alignment horizontal="left" vertical="center"/>
    </xf>
    <xf numFmtId="0" fontId="18" fillId="8" borderId="3" xfId="0" applyFont="1" applyFill="1" applyBorder="1" applyAlignment="1">
      <alignment horizontal="left" vertical="center" wrapText="1"/>
    </xf>
    <xf numFmtId="0" fontId="8" fillId="11" borderId="14" xfId="0" applyFont="1" applyFill="1" applyBorder="1" applyAlignment="1">
      <alignment horizontal="center" vertical="center"/>
    </xf>
    <xf numFmtId="0" fontId="18" fillId="10" borderId="3" xfId="0" applyFont="1" applyFill="1" applyBorder="1" applyAlignment="1">
      <alignment horizontal="left" vertical="center" wrapText="1"/>
    </xf>
    <xf numFmtId="0" fontId="3" fillId="3" borderId="1" xfId="0" applyFont="1" applyFill="1" applyBorder="1" applyAlignment="1">
      <alignment horizontal="center" vertical="center" wrapText="1"/>
    </xf>
    <xf numFmtId="0" fontId="0" fillId="0" borderId="7" xfId="0" applyBorder="1"/>
    <xf numFmtId="0" fontId="0" fillId="0" borderId="8" xfId="0" applyBorder="1"/>
    <xf numFmtId="0" fontId="3" fillId="4"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xf numFmtId="0" fontId="3" fillId="5" borderId="1" xfId="0" applyFont="1" applyFill="1" applyBorder="1" applyAlignment="1">
      <alignment horizontal="center" vertical="center" wrapText="1"/>
    </xf>
    <xf numFmtId="0" fontId="1" fillId="2" borderId="0" xfId="0" applyFont="1" applyFill="1" applyAlignment="1">
      <alignment horizontal="center" vertical="center" wrapText="1"/>
    </xf>
    <xf numFmtId="0" fontId="3" fillId="6" borderId="1"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0" fillId="0" borderId="11" xfId="0" applyBorder="1"/>
    <xf numFmtId="0" fontId="8" fillId="12" borderId="2" xfId="0" applyFont="1" applyFill="1" applyBorder="1" applyAlignment="1">
      <alignment horizontal="center" vertical="center" wrapText="1"/>
    </xf>
    <xf numFmtId="0" fontId="8" fillId="13" borderId="2" xfId="0" applyFont="1" applyFill="1" applyBorder="1" applyAlignment="1">
      <alignment horizontal="center" vertical="center" wrapText="1"/>
    </xf>
    <xf numFmtId="0" fontId="11" fillId="15" borderId="4" xfId="0" applyFont="1" applyFill="1" applyBorder="1" applyAlignment="1">
      <alignment horizontal="center" vertical="center" wrapText="1"/>
    </xf>
    <xf numFmtId="0" fontId="0" fillId="0" borderId="9" xfId="0" applyBorder="1"/>
    <xf numFmtId="0" fontId="0" fillId="0" borderId="10" xfId="0" applyBorder="1"/>
    <xf numFmtId="166" fontId="9" fillId="10" borderId="4" xfId="0" applyNumberFormat="1" applyFont="1" applyFill="1" applyBorder="1" applyAlignment="1">
      <alignment horizontal="center" vertical="center" wrapText="1"/>
    </xf>
    <xf numFmtId="167" fontId="9" fillId="10" borderId="4" xfId="0" applyNumberFormat="1" applyFont="1" applyFill="1" applyBorder="1" applyAlignment="1">
      <alignment horizontal="center" vertical="center" wrapText="1"/>
    </xf>
    <xf numFmtId="1" fontId="9" fillId="10" borderId="4" xfId="0" applyNumberFormat="1" applyFont="1" applyFill="1" applyBorder="1" applyAlignment="1">
      <alignment horizontal="center" vertical="center" wrapText="1"/>
    </xf>
    <xf numFmtId="168" fontId="9" fillId="10" borderId="4" xfId="0" applyNumberFormat="1" applyFont="1" applyFill="1" applyBorder="1" applyAlignment="1">
      <alignment horizontal="center" vertical="center" wrapText="1"/>
    </xf>
    <xf numFmtId="0" fontId="10" fillId="2" borderId="0" xfId="0" applyFont="1" applyFill="1" applyAlignment="1">
      <alignment horizontal="center" vertical="center" wrapText="1"/>
    </xf>
    <xf numFmtId="169" fontId="9" fillId="10" borderId="4" xfId="0" applyNumberFormat="1" applyFont="1" applyFill="1" applyBorder="1" applyAlignment="1">
      <alignment horizontal="center" vertical="center" wrapText="1"/>
    </xf>
    <xf numFmtId="0" fontId="8" fillId="14" borderId="2"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8" fillId="3" borderId="2" xfId="0" applyFont="1" applyFill="1" applyBorder="1" applyAlignment="1">
      <alignment horizontal="center" vertical="center" wrapText="1"/>
    </xf>
    <xf numFmtId="165" fontId="9" fillId="10" borderId="4" xfId="0" applyNumberFormat="1" applyFont="1" applyFill="1" applyBorder="1" applyAlignment="1">
      <alignment horizontal="center" vertical="center" wrapText="1"/>
    </xf>
    <xf numFmtId="0" fontId="13" fillId="11" borderId="6" xfId="0" applyFont="1" applyFill="1" applyBorder="1" applyAlignment="1">
      <alignment horizontal="left" vertical="center" wrapText="1"/>
    </xf>
    <xf numFmtId="0" fontId="0" fillId="0" borderId="12" xfId="0" applyBorder="1"/>
    <xf numFmtId="0" fontId="0" fillId="0" borderId="13" xfId="0" applyBorder="1"/>
    <xf numFmtId="0" fontId="17" fillId="2" borderId="0" xfId="0" applyFont="1" applyFill="1" applyAlignment="1">
      <alignment horizontal="center" vertical="center"/>
    </xf>
    <xf numFmtId="0" fontId="19" fillId="16" borderId="0" xfId="0" applyFont="1" applyFill="1" applyAlignment="1">
      <alignment horizontal="left" vertical="top" wrapText="1"/>
    </xf>
    <xf numFmtId="0" fontId="10" fillId="12" borderId="0" xfId="0" applyFont="1" applyFill="1" applyAlignment="1">
      <alignment horizontal="center" vertical="center"/>
    </xf>
    <xf numFmtId="175" fontId="21" fillId="0" borderId="0" xfId="0" applyNumberFormat="1" applyFont="1" applyAlignment="1">
      <alignment vertical="center"/>
    </xf>
    <xf numFmtId="175" fontId="5" fillId="9" borderId="3" xfId="0" applyNumberFormat="1" applyFont="1" applyFill="1" applyBorder="1" applyAlignment="1">
      <alignment horizontal="center" vertical="center" wrapText="1"/>
    </xf>
  </cellXfs>
  <cellStyles count="1">
    <cellStyle name="Normal" xfId="0" builtinId="0"/>
  </cellStyles>
  <dxfs count="3">
    <dxf>
      <font>
        <b/>
        <color rgb="FFC0392B"/>
      </font>
      <fill>
        <patternFill patternType="solid">
          <fgColor rgb="FFFADBD8"/>
        </patternFill>
      </fill>
    </dxf>
    <dxf>
      <font>
        <b/>
        <color rgb="FFB7770D"/>
      </font>
      <fill>
        <patternFill patternType="solid">
          <fgColor rgb="FFFEF9E7"/>
        </patternFill>
      </fill>
    </dxf>
    <dxf>
      <font>
        <b/>
        <color rgb="FF1D9E75"/>
      </font>
      <fill>
        <patternFill patternType="solid">
          <fgColor rgb="FFD5F5E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18</xdr:col>
      <xdr:colOff>47625</xdr:colOff>
      <xdr:row>0</xdr:row>
      <xdr:rowOff>47625</xdr:rowOff>
    </xdr:from>
    <xdr:to>
      <xdr:col>21</xdr:col>
      <xdr:colOff>285750</xdr:colOff>
      <xdr:row>2</xdr:row>
      <xdr:rowOff>66675</xdr:rowOff>
    </xdr:to>
    <xdr:sp macro="[0]!ExportTradesToCSV" textlink="">
      <xdr:nvSpPr>
        <xdr:cNvPr id="2" name="Rectangle: Rounded Corners 1">
          <a:extLst>
            <a:ext uri="{FF2B5EF4-FFF2-40B4-BE49-F238E27FC236}">
              <a16:creationId xmlns:a16="http://schemas.microsoft.com/office/drawing/2014/main" id="{99AA221E-88E9-E930-9B0A-D259D7F0B469}"/>
            </a:ext>
          </a:extLst>
        </xdr:cNvPr>
        <xdr:cNvSpPr/>
      </xdr:nvSpPr>
      <xdr:spPr>
        <a:xfrm>
          <a:off x="16049625" y="47625"/>
          <a:ext cx="2066925"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t>Export to GitHub</a:t>
          </a:r>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5"/>
  <sheetViews>
    <sheetView showGridLines="0" tabSelected="1" topLeftCell="I1" zoomScale="145" zoomScaleNormal="145" workbookViewId="0">
      <pane ySplit="3" topLeftCell="A4" activePane="bottomLeft" state="frozen"/>
      <selection pane="bottomLeft" activeCell="A7" sqref="A7"/>
    </sheetView>
  </sheetViews>
  <sheetFormatPr defaultRowHeight="15"/>
  <cols>
    <col min="1" max="1" width="12" customWidth="1"/>
    <col min="2" max="2" width="9" customWidth="1"/>
    <col min="3" max="6" width="12" customWidth="1"/>
    <col min="7" max="7" width="11" customWidth="1"/>
    <col min="8" max="9" width="12" customWidth="1"/>
    <col min="10" max="10" width="10" customWidth="1"/>
    <col min="11" max="11" width="11" customWidth="1"/>
    <col min="12" max="12" width="13" customWidth="1"/>
    <col min="13" max="13" width="11" customWidth="1"/>
    <col min="14" max="14" width="10" customWidth="1"/>
    <col min="15" max="15" width="9" customWidth="1"/>
    <col min="16" max="16" width="12" customWidth="1"/>
    <col min="17" max="17" width="28" customWidth="1"/>
    <col min="18" max="18" width="32" customWidth="1"/>
    <col min="19" max="19" width="20.5703125" customWidth="1"/>
  </cols>
  <sheetData>
    <row r="1" spans="1:19" ht="36" customHeight="1">
      <c r="A1" s="56" t="s">
        <v>0</v>
      </c>
      <c r="B1" s="54"/>
      <c r="C1" s="54"/>
      <c r="D1" s="54"/>
      <c r="E1" s="54"/>
      <c r="F1" s="54"/>
      <c r="G1" s="54"/>
      <c r="H1" s="54"/>
      <c r="I1" s="54"/>
      <c r="J1" s="54"/>
      <c r="K1" s="54"/>
      <c r="L1" s="54"/>
      <c r="M1" s="54"/>
      <c r="N1" s="54"/>
      <c r="O1" s="54"/>
      <c r="P1" s="54"/>
      <c r="Q1" s="54"/>
      <c r="R1" s="54"/>
    </row>
    <row r="2" spans="1:19" ht="20.100000000000001" customHeight="1">
      <c r="A2" s="53" t="s">
        <v>1</v>
      </c>
      <c r="B2" s="54"/>
      <c r="C2" s="54"/>
      <c r="D2" s="54"/>
      <c r="E2" s="54"/>
      <c r="F2" s="54"/>
      <c r="G2" s="54"/>
      <c r="H2" s="54"/>
      <c r="I2" s="54"/>
      <c r="J2" s="54"/>
      <c r="K2" s="54"/>
      <c r="L2" s="54"/>
      <c r="M2" s="54"/>
      <c r="N2" s="54"/>
      <c r="O2" s="54"/>
      <c r="P2" s="54"/>
      <c r="Q2" s="54"/>
      <c r="R2" s="54"/>
    </row>
    <row r="3" spans="1:19" ht="6" customHeight="1"/>
    <row r="4" spans="1:19" ht="18" customHeight="1">
      <c r="A4" s="49" t="s">
        <v>2</v>
      </c>
      <c r="B4" s="50"/>
      <c r="C4" s="50"/>
      <c r="D4" s="50"/>
      <c r="E4" s="50"/>
      <c r="F4" s="50"/>
      <c r="G4" s="50"/>
      <c r="H4" s="51"/>
      <c r="I4" s="52" t="s">
        <v>3</v>
      </c>
      <c r="J4" s="50"/>
      <c r="K4" s="50"/>
      <c r="L4" s="50"/>
      <c r="M4" s="51"/>
      <c r="N4" s="55" t="s">
        <v>4</v>
      </c>
      <c r="O4" s="50"/>
      <c r="P4" s="50"/>
      <c r="Q4" s="51"/>
      <c r="R4" s="57" t="s">
        <v>5</v>
      </c>
      <c r="S4" s="51"/>
    </row>
    <row r="5" spans="1:19" ht="36" customHeight="1">
      <c r="A5" s="1" t="s">
        <v>6</v>
      </c>
      <c r="B5" s="1" t="s">
        <v>7</v>
      </c>
      <c r="C5" s="1" t="s">
        <v>8</v>
      </c>
      <c r="D5" s="1" t="s">
        <v>9</v>
      </c>
      <c r="E5" s="1" t="s">
        <v>10</v>
      </c>
      <c r="F5" s="1" t="s">
        <v>11</v>
      </c>
      <c r="G5" s="1" t="s">
        <v>12</v>
      </c>
      <c r="H5" s="1" t="s">
        <v>13</v>
      </c>
      <c r="I5" s="2" t="s">
        <v>14</v>
      </c>
      <c r="J5" s="2" t="s">
        <v>15</v>
      </c>
      <c r="K5" s="2" t="s">
        <v>16</v>
      </c>
      <c r="L5" s="2" t="s">
        <v>17</v>
      </c>
      <c r="M5" s="2" t="s">
        <v>18</v>
      </c>
      <c r="N5" s="3" t="s">
        <v>19</v>
      </c>
      <c r="O5" s="3" t="s">
        <v>20</v>
      </c>
      <c r="P5" s="3" t="s">
        <v>21</v>
      </c>
      <c r="Q5" s="3" t="s">
        <v>22</v>
      </c>
      <c r="R5" s="4" t="s">
        <v>23</v>
      </c>
      <c r="S5" s="4" t="s">
        <v>24</v>
      </c>
    </row>
    <row r="6" spans="1:19" ht="21.95" customHeight="1">
      <c r="A6" s="5">
        <v>46174</v>
      </c>
      <c r="B6" s="6" t="s">
        <v>25</v>
      </c>
      <c r="C6" s="6" t="s">
        <v>26</v>
      </c>
      <c r="D6" s="6" t="s">
        <v>27</v>
      </c>
      <c r="E6" s="37">
        <v>7.52</v>
      </c>
      <c r="F6" s="37">
        <v>7.61</v>
      </c>
      <c r="G6" s="38">
        <v>1.34658999</v>
      </c>
      <c r="H6" s="38">
        <v>8.9390655300000006</v>
      </c>
      <c r="I6" s="7">
        <f>IF(OR(E6="",G6=""),"",ROUND(H6*E6/G6,2))</f>
        <v>49.92</v>
      </c>
      <c r="J6" s="8">
        <f t="shared" ref="J6:J37" si="0">IF(OR(F6="",G6=""),"",ROUND(H6*(F6-E6)/G6,2))</f>
        <v>0.6</v>
      </c>
      <c r="K6" s="9">
        <f t="shared" ref="K6:K37" si="1">IF(OR(E6="",F6=""),"",ROUND((F6-E6)/E6*100,2))</f>
        <v>1.2</v>
      </c>
      <c r="L6" s="10" t="str">
        <f t="shared" ref="L6:L37" si="2">IF(K6="","",IF(K6&gt;=10,"✅ Win",IF(K6&gt;0,"⚠️ Partial","❌ Loss")))</f>
        <v>⚠️ Partial</v>
      </c>
      <c r="M6" s="11">
        <f>IF(J6="","",50+J6)</f>
        <v>50.6</v>
      </c>
      <c r="N6" s="6">
        <v>12.752599999999999</v>
      </c>
      <c r="O6" s="12">
        <v>0</v>
      </c>
      <c r="P6" s="6">
        <v>4.5469999999999997</v>
      </c>
      <c r="Q6" s="6" t="s">
        <v>28</v>
      </c>
      <c r="R6" s="6" t="s">
        <v>29</v>
      </c>
      <c r="S6" s="6" t="s">
        <v>30</v>
      </c>
    </row>
    <row r="7" spans="1:19" ht="127.5">
      <c r="A7" s="5">
        <v>46175</v>
      </c>
      <c r="B7" s="14" t="s">
        <v>130</v>
      </c>
      <c r="C7" s="81">
        <v>0.5756944444444444</v>
      </c>
      <c r="D7" s="82">
        <v>0.62430555555555556</v>
      </c>
      <c r="E7" s="39">
        <v>2.02</v>
      </c>
      <c r="F7" s="39">
        <v>2.12</v>
      </c>
      <c r="G7" s="40">
        <v>1.34725999</v>
      </c>
      <c r="H7" s="41">
        <v>33.88166296</v>
      </c>
      <c r="I7" s="15">
        <f>IF(OR(E7="",G7=""),"",ROUND(H7*E7/G7,2))</f>
        <v>50.8</v>
      </c>
      <c r="J7" s="16">
        <f t="shared" si="0"/>
        <v>2.5099999999999998</v>
      </c>
      <c r="K7" s="17">
        <f t="shared" si="1"/>
        <v>4.95</v>
      </c>
      <c r="L7" s="18" t="str">
        <f t="shared" si="2"/>
        <v>⚠️ Partial</v>
      </c>
      <c r="M7" s="19">
        <f t="shared" ref="M7:M38" si="3">IF(J7="","",M6+J7)</f>
        <v>53.11</v>
      </c>
      <c r="N7" s="14">
        <v>14.372</v>
      </c>
      <c r="O7" s="20">
        <v>0</v>
      </c>
      <c r="P7" s="14">
        <v>7.3384999999999998</v>
      </c>
      <c r="Q7" s="6" t="s">
        <v>28</v>
      </c>
      <c r="R7" s="14" t="s">
        <v>131</v>
      </c>
      <c r="S7" s="14" t="s">
        <v>132</v>
      </c>
    </row>
    <row r="8" spans="1:19" ht="21.95" customHeight="1">
      <c r="A8" s="5"/>
      <c r="B8" s="6"/>
      <c r="C8" s="6"/>
      <c r="D8" s="6"/>
      <c r="E8" s="37"/>
      <c r="F8" s="37"/>
      <c r="G8" s="42"/>
      <c r="H8" s="38"/>
      <c r="I8" s="7" t="str">
        <f t="shared" ref="I8:I37" si="4">IF(OR(E8="",G8=""),"",ROUND(H8*E8/G8,2))</f>
        <v/>
      </c>
      <c r="J8" s="8" t="str">
        <f t="shared" si="0"/>
        <v/>
      </c>
      <c r="K8" s="9" t="str">
        <f t="shared" si="1"/>
        <v/>
      </c>
      <c r="L8" s="10" t="str">
        <f t="shared" si="2"/>
        <v/>
      </c>
      <c r="M8" s="11" t="str">
        <f t="shared" si="3"/>
        <v/>
      </c>
      <c r="N8" s="6"/>
      <c r="O8" s="12"/>
      <c r="P8" s="6"/>
      <c r="Q8" s="6"/>
      <c r="R8" s="6"/>
      <c r="S8" s="6"/>
    </row>
    <row r="9" spans="1:19" ht="21.95" customHeight="1">
      <c r="A9" s="13"/>
      <c r="B9" s="14"/>
      <c r="C9" s="14"/>
      <c r="D9" s="14"/>
      <c r="E9" s="39"/>
      <c r="F9" s="39"/>
      <c r="G9" s="40"/>
      <c r="H9" s="41"/>
      <c r="I9" s="15" t="str">
        <f t="shared" si="4"/>
        <v/>
      </c>
      <c r="J9" s="16" t="str">
        <f t="shared" si="0"/>
        <v/>
      </c>
      <c r="K9" s="17" t="str">
        <f t="shared" si="1"/>
        <v/>
      </c>
      <c r="L9" s="18" t="str">
        <f t="shared" si="2"/>
        <v/>
      </c>
      <c r="M9" s="19" t="str">
        <f t="shared" si="3"/>
        <v/>
      </c>
      <c r="N9" s="14"/>
      <c r="O9" s="20"/>
      <c r="P9" s="14"/>
      <c r="Q9" s="14"/>
      <c r="R9" s="14"/>
      <c r="S9" s="14"/>
    </row>
    <row r="10" spans="1:19" ht="21.95" customHeight="1">
      <c r="A10" s="5"/>
      <c r="B10" s="6"/>
      <c r="C10" s="6"/>
      <c r="D10" s="6"/>
      <c r="E10" s="37"/>
      <c r="F10" s="37"/>
      <c r="G10" s="42"/>
      <c r="H10" s="38"/>
      <c r="I10" s="7" t="str">
        <f t="shared" si="4"/>
        <v/>
      </c>
      <c r="J10" s="8" t="str">
        <f t="shared" si="0"/>
        <v/>
      </c>
      <c r="K10" s="9" t="str">
        <f t="shared" si="1"/>
        <v/>
      </c>
      <c r="L10" s="10" t="str">
        <f t="shared" si="2"/>
        <v/>
      </c>
      <c r="M10" s="11" t="str">
        <f t="shared" si="3"/>
        <v/>
      </c>
      <c r="N10" s="6"/>
      <c r="O10" s="12"/>
      <c r="P10" s="6"/>
      <c r="Q10" s="6"/>
      <c r="R10" s="6"/>
      <c r="S10" s="6"/>
    </row>
    <row r="11" spans="1:19" ht="21.95" customHeight="1">
      <c r="A11" s="13"/>
      <c r="B11" s="14"/>
      <c r="C11" s="14"/>
      <c r="D11" s="14"/>
      <c r="E11" s="39"/>
      <c r="F11" s="39"/>
      <c r="G11" s="40"/>
      <c r="H11" s="41"/>
      <c r="I11" s="15" t="str">
        <f t="shared" si="4"/>
        <v/>
      </c>
      <c r="J11" s="16" t="str">
        <f t="shared" si="0"/>
        <v/>
      </c>
      <c r="K11" s="17" t="str">
        <f t="shared" si="1"/>
        <v/>
      </c>
      <c r="L11" s="18" t="str">
        <f t="shared" si="2"/>
        <v/>
      </c>
      <c r="M11" s="19" t="str">
        <f t="shared" si="3"/>
        <v/>
      </c>
      <c r="N11" s="14"/>
      <c r="O11" s="20"/>
      <c r="P11" s="14"/>
      <c r="Q11" s="14"/>
      <c r="R11" s="14"/>
      <c r="S11" s="14"/>
    </row>
    <row r="12" spans="1:19" ht="21.95" customHeight="1">
      <c r="A12" s="5"/>
      <c r="B12" s="6"/>
      <c r="C12" s="6"/>
      <c r="D12" s="6"/>
      <c r="E12" s="37"/>
      <c r="F12" s="37"/>
      <c r="G12" s="42"/>
      <c r="H12" s="38"/>
      <c r="I12" s="7" t="str">
        <f t="shared" si="4"/>
        <v/>
      </c>
      <c r="J12" s="8" t="str">
        <f t="shared" si="0"/>
        <v/>
      </c>
      <c r="K12" s="9" t="str">
        <f t="shared" si="1"/>
        <v/>
      </c>
      <c r="L12" s="10" t="str">
        <f t="shared" si="2"/>
        <v/>
      </c>
      <c r="M12" s="11" t="str">
        <f t="shared" si="3"/>
        <v/>
      </c>
      <c r="N12" s="6"/>
      <c r="O12" s="12"/>
      <c r="P12" s="6"/>
      <c r="Q12" s="6"/>
      <c r="R12" s="6"/>
      <c r="S12" s="6"/>
    </row>
    <row r="13" spans="1:19" ht="21.95" customHeight="1">
      <c r="A13" s="13"/>
      <c r="B13" s="14"/>
      <c r="C13" s="14"/>
      <c r="D13" s="14"/>
      <c r="E13" s="39"/>
      <c r="F13" s="39"/>
      <c r="G13" s="40"/>
      <c r="H13" s="41"/>
      <c r="I13" s="15" t="str">
        <f t="shared" si="4"/>
        <v/>
      </c>
      <c r="J13" s="16" t="str">
        <f t="shared" si="0"/>
        <v/>
      </c>
      <c r="K13" s="17" t="str">
        <f t="shared" si="1"/>
        <v/>
      </c>
      <c r="L13" s="18" t="str">
        <f t="shared" si="2"/>
        <v/>
      </c>
      <c r="M13" s="19" t="str">
        <f t="shared" si="3"/>
        <v/>
      </c>
      <c r="N13" s="14"/>
      <c r="O13" s="20"/>
      <c r="P13" s="14"/>
      <c r="Q13" s="14"/>
      <c r="R13" s="14"/>
      <c r="S13" s="14"/>
    </row>
    <row r="14" spans="1:19" ht="21.95" customHeight="1">
      <c r="A14" s="5"/>
      <c r="B14" s="6"/>
      <c r="C14" s="6"/>
      <c r="D14" s="6"/>
      <c r="E14" s="37"/>
      <c r="F14" s="37"/>
      <c r="G14" s="42"/>
      <c r="H14" s="38"/>
      <c r="I14" s="7" t="str">
        <f t="shared" si="4"/>
        <v/>
      </c>
      <c r="J14" s="8" t="str">
        <f t="shared" si="0"/>
        <v/>
      </c>
      <c r="K14" s="9" t="str">
        <f t="shared" si="1"/>
        <v/>
      </c>
      <c r="L14" s="10" t="str">
        <f t="shared" si="2"/>
        <v/>
      </c>
      <c r="M14" s="11" t="str">
        <f t="shared" si="3"/>
        <v/>
      </c>
      <c r="N14" s="6"/>
      <c r="O14" s="12"/>
      <c r="P14" s="6"/>
      <c r="Q14" s="6"/>
      <c r="R14" s="6"/>
      <c r="S14" s="6"/>
    </row>
    <row r="15" spans="1:19" ht="21.95" customHeight="1">
      <c r="A15" s="13"/>
      <c r="B15" s="14"/>
      <c r="C15" s="14"/>
      <c r="D15" s="14"/>
      <c r="E15" s="39"/>
      <c r="F15" s="39"/>
      <c r="G15" s="40"/>
      <c r="H15" s="41"/>
      <c r="I15" s="15" t="str">
        <f t="shared" si="4"/>
        <v/>
      </c>
      <c r="J15" s="16" t="str">
        <f t="shared" si="0"/>
        <v/>
      </c>
      <c r="K15" s="17" t="str">
        <f t="shared" si="1"/>
        <v/>
      </c>
      <c r="L15" s="18" t="str">
        <f t="shared" si="2"/>
        <v/>
      </c>
      <c r="M15" s="19" t="str">
        <f t="shared" si="3"/>
        <v/>
      </c>
      <c r="N15" s="14"/>
      <c r="O15" s="20"/>
      <c r="P15" s="14"/>
      <c r="Q15" s="14"/>
      <c r="R15" s="14"/>
      <c r="S15" s="14"/>
    </row>
    <row r="16" spans="1:19" ht="21.95" customHeight="1">
      <c r="A16" s="5"/>
      <c r="B16" s="6"/>
      <c r="C16" s="6"/>
      <c r="D16" s="6"/>
      <c r="E16" s="37"/>
      <c r="F16" s="37"/>
      <c r="G16" s="42"/>
      <c r="H16" s="38"/>
      <c r="I16" s="7" t="str">
        <f t="shared" si="4"/>
        <v/>
      </c>
      <c r="J16" s="8" t="str">
        <f t="shared" si="0"/>
        <v/>
      </c>
      <c r="K16" s="9" t="str">
        <f t="shared" si="1"/>
        <v/>
      </c>
      <c r="L16" s="10" t="str">
        <f t="shared" si="2"/>
        <v/>
      </c>
      <c r="M16" s="11" t="str">
        <f t="shared" si="3"/>
        <v/>
      </c>
      <c r="N16" s="6"/>
      <c r="O16" s="12"/>
      <c r="P16" s="6"/>
      <c r="Q16" s="6"/>
      <c r="R16" s="6"/>
      <c r="S16" s="6"/>
    </row>
    <row r="17" spans="1:19" ht="21.95" customHeight="1">
      <c r="A17" s="13"/>
      <c r="B17" s="14"/>
      <c r="C17" s="14"/>
      <c r="D17" s="14"/>
      <c r="E17" s="39"/>
      <c r="F17" s="39"/>
      <c r="G17" s="40"/>
      <c r="H17" s="41"/>
      <c r="I17" s="15" t="str">
        <f t="shared" si="4"/>
        <v/>
      </c>
      <c r="J17" s="16" t="str">
        <f t="shared" si="0"/>
        <v/>
      </c>
      <c r="K17" s="17" t="str">
        <f t="shared" si="1"/>
        <v/>
      </c>
      <c r="L17" s="18" t="str">
        <f t="shared" si="2"/>
        <v/>
      </c>
      <c r="M17" s="19" t="str">
        <f t="shared" si="3"/>
        <v/>
      </c>
      <c r="N17" s="14"/>
      <c r="O17" s="20"/>
      <c r="P17" s="14"/>
      <c r="Q17" s="14"/>
      <c r="R17" s="14"/>
      <c r="S17" s="14"/>
    </row>
    <row r="18" spans="1:19" ht="21.95" customHeight="1">
      <c r="A18" s="5"/>
      <c r="B18" s="6"/>
      <c r="C18" s="6"/>
      <c r="D18" s="6"/>
      <c r="E18" s="37"/>
      <c r="F18" s="37"/>
      <c r="G18" s="42"/>
      <c r="H18" s="38"/>
      <c r="I18" s="7" t="str">
        <f t="shared" si="4"/>
        <v/>
      </c>
      <c r="J18" s="8" t="str">
        <f t="shared" si="0"/>
        <v/>
      </c>
      <c r="K18" s="9" t="str">
        <f t="shared" si="1"/>
        <v/>
      </c>
      <c r="L18" s="10" t="str">
        <f t="shared" si="2"/>
        <v/>
      </c>
      <c r="M18" s="11" t="str">
        <f t="shared" si="3"/>
        <v/>
      </c>
      <c r="N18" s="6"/>
      <c r="O18" s="12"/>
      <c r="P18" s="6"/>
      <c r="Q18" s="6"/>
      <c r="R18" s="6"/>
      <c r="S18" s="6"/>
    </row>
    <row r="19" spans="1:19" ht="21.95" customHeight="1">
      <c r="A19" s="13"/>
      <c r="B19" s="14"/>
      <c r="C19" s="14"/>
      <c r="D19" s="14"/>
      <c r="E19" s="39"/>
      <c r="F19" s="39"/>
      <c r="G19" s="40"/>
      <c r="H19" s="41"/>
      <c r="I19" s="15" t="str">
        <f t="shared" si="4"/>
        <v/>
      </c>
      <c r="J19" s="16" t="str">
        <f t="shared" si="0"/>
        <v/>
      </c>
      <c r="K19" s="17" t="str">
        <f t="shared" si="1"/>
        <v/>
      </c>
      <c r="L19" s="18" t="str">
        <f t="shared" si="2"/>
        <v/>
      </c>
      <c r="M19" s="19" t="str">
        <f t="shared" si="3"/>
        <v/>
      </c>
      <c r="N19" s="14"/>
      <c r="O19" s="20"/>
      <c r="P19" s="14"/>
      <c r="Q19" s="14"/>
      <c r="R19" s="14"/>
      <c r="S19" s="14"/>
    </row>
    <row r="20" spans="1:19" ht="21.95" customHeight="1">
      <c r="A20" s="5"/>
      <c r="B20" s="6"/>
      <c r="C20" s="6"/>
      <c r="D20" s="6"/>
      <c r="E20" s="37"/>
      <c r="F20" s="37"/>
      <c r="G20" s="42"/>
      <c r="H20" s="38"/>
      <c r="I20" s="7" t="str">
        <f t="shared" si="4"/>
        <v/>
      </c>
      <c r="J20" s="8" t="str">
        <f t="shared" si="0"/>
        <v/>
      </c>
      <c r="K20" s="9" t="str">
        <f t="shared" si="1"/>
        <v/>
      </c>
      <c r="L20" s="10" t="str">
        <f t="shared" si="2"/>
        <v/>
      </c>
      <c r="M20" s="11" t="str">
        <f t="shared" si="3"/>
        <v/>
      </c>
      <c r="N20" s="6"/>
      <c r="O20" s="12"/>
      <c r="P20" s="6"/>
      <c r="Q20" s="6"/>
      <c r="R20" s="6"/>
      <c r="S20" s="6"/>
    </row>
    <row r="21" spans="1:19" ht="21.95" customHeight="1">
      <c r="A21" s="13"/>
      <c r="B21" s="14"/>
      <c r="C21" s="14"/>
      <c r="D21" s="14"/>
      <c r="E21" s="39"/>
      <c r="F21" s="39"/>
      <c r="G21" s="40"/>
      <c r="H21" s="41"/>
      <c r="I21" s="15" t="str">
        <f t="shared" si="4"/>
        <v/>
      </c>
      <c r="J21" s="16" t="str">
        <f t="shared" si="0"/>
        <v/>
      </c>
      <c r="K21" s="17" t="str">
        <f t="shared" si="1"/>
        <v/>
      </c>
      <c r="L21" s="18" t="str">
        <f t="shared" si="2"/>
        <v/>
      </c>
      <c r="M21" s="19" t="str">
        <f t="shared" si="3"/>
        <v/>
      </c>
      <c r="N21" s="14"/>
      <c r="O21" s="20"/>
      <c r="P21" s="14"/>
      <c r="Q21" s="14"/>
      <c r="R21" s="14"/>
      <c r="S21" s="14"/>
    </row>
    <row r="22" spans="1:19" ht="21.95" customHeight="1">
      <c r="A22" s="5"/>
      <c r="B22" s="6"/>
      <c r="C22" s="6"/>
      <c r="D22" s="6"/>
      <c r="E22" s="37"/>
      <c r="F22" s="37"/>
      <c r="G22" s="42"/>
      <c r="H22" s="38"/>
      <c r="I22" s="7" t="str">
        <f t="shared" si="4"/>
        <v/>
      </c>
      <c r="J22" s="8" t="str">
        <f t="shared" si="0"/>
        <v/>
      </c>
      <c r="K22" s="9" t="str">
        <f t="shared" si="1"/>
        <v/>
      </c>
      <c r="L22" s="10" t="str">
        <f t="shared" si="2"/>
        <v/>
      </c>
      <c r="M22" s="11" t="str">
        <f t="shared" si="3"/>
        <v/>
      </c>
      <c r="N22" s="6"/>
      <c r="O22" s="12"/>
      <c r="P22" s="6"/>
      <c r="Q22" s="6"/>
      <c r="R22" s="6"/>
      <c r="S22" s="6"/>
    </row>
    <row r="23" spans="1:19" ht="21.95" customHeight="1">
      <c r="A23" s="13"/>
      <c r="B23" s="14"/>
      <c r="C23" s="14"/>
      <c r="D23" s="14"/>
      <c r="E23" s="39"/>
      <c r="F23" s="39"/>
      <c r="G23" s="40"/>
      <c r="H23" s="41"/>
      <c r="I23" s="15" t="str">
        <f t="shared" si="4"/>
        <v/>
      </c>
      <c r="J23" s="16" t="str">
        <f t="shared" si="0"/>
        <v/>
      </c>
      <c r="K23" s="17" t="str">
        <f t="shared" si="1"/>
        <v/>
      </c>
      <c r="L23" s="18" t="str">
        <f t="shared" si="2"/>
        <v/>
      </c>
      <c r="M23" s="19" t="str">
        <f t="shared" si="3"/>
        <v/>
      </c>
      <c r="N23" s="14"/>
      <c r="O23" s="20"/>
      <c r="P23" s="14"/>
      <c r="Q23" s="14"/>
      <c r="R23" s="14"/>
      <c r="S23" s="14"/>
    </row>
    <row r="24" spans="1:19" ht="21.95" customHeight="1">
      <c r="A24" s="5"/>
      <c r="B24" s="6"/>
      <c r="C24" s="6"/>
      <c r="D24" s="6"/>
      <c r="E24" s="37"/>
      <c r="F24" s="37"/>
      <c r="G24" s="42"/>
      <c r="H24" s="38"/>
      <c r="I24" s="7" t="str">
        <f t="shared" si="4"/>
        <v/>
      </c>
      <c r="J24" s="8" t="str">
        <f t="shared" si="0"/>
        <v/>
      </c>
      <c r="K24" s="9" t="str">
        <f t="shared" si="1"/>
        <v/>
      </c>
      <c r="L24" s="10" t="str">
        <f t="shared" si="2"/>
        <v/>
      </c>
      <c r="M24" s="11" t="str">
        <f t="shared" si="3"/>
        <v/>
      </c>
      <c r="N24" s="6"/>
      <c r="O24" s="12"/>
      <c r="P24" s="6"/>
      <c r="Q24" s="6"/>
      <c r="R24" s="6"/>
      <c r="S24" s="6"/>
    </row>
    <row r="25" spans="1:19" ht="21.95" customHeight="1">
      <c r="A25" s="13"/>
      <c r="B25" s="14"/>
      <c r="C25" s="14"/>
      <c r="D25" s="14"/>
      <c r="E25" s="39"/>
      <c r="F25" s="39"/>
      <c r="G25" s="40"/>
      <c r="H25" s="41"/>
      <c r="I25" s="15" t="str">
        <f t="shared" si="4"/>
        <v/>
      </c>
      <c r="J25" s="16" t="str">
        <f t="shared" si="0"/>
        <v/>
      </c>
      <c r="K25" s="17" t="str">
        <f t="shared" si="1"/>
        <v/>
      </c>
      <c r="L25" s="18" t="str">
        <f t="shared" si="2"/>
        <v/>
      </c>
      <c r="M25" s="19" t="str">
        <f t="shared" si="3"/>
        <v/>
      </c>
      <c r="N25" s="14"/>
      <c r="O25" s="20"/>
      <c r="P25" s="14"/>
      <c r="Q25" s="14"/>
      <c r="R25" s="14"/>
      <c r="S25" s="14"/>
    </row>
    <row r="26" spans="1:19" ht="21.95" customHeight="1">
      <c r="A26" s="5"/>
      <c r="B26" s="6"/>
      <c r="C26" s="6"/>
      <c r="D26" s="6"/>
      <c r="E26" s="37"/>
      <c r="F26" s="37"/>
      <c r="G26" s="42"/>
      <c r="H26" s="38"/>
      <c r="I26" s="7" t="str">
        <f t="shared" si="4"/>
        <v/>
      </c>
      <c r="J26" s="8" t="str">
        <f t="shared" si="0"/>
        <v/>
      </c>
      <c r="K26" s="9" t="str">
        <f t="shared" si="1"/>
        <v/>
      </c>
      <c r="L26" s="10" t="str">
        <f t="shared" si="2"/>
        <v/>
      </c>
      <c r="M26" s="11" t="str">
        <f t="shared" si="3"/>
        <v/>
      </c>
      <c r="N26" s="6"/>
      <c r="O26" s="12"/>
      <c r="P26" s="6"/>
      <c r="Q26" s="6"/>
      <c r="R26" s="6"/>
      <c r="S26" s="6"/>
    </row>
    <row r="27" spans="1:19" ht="21.95" customHeight="1">
      <c r="A27" s="13"/>
      <c r="B27" s="14"/>
      <c r="C27" s="14"/>
      <c r="D27" s="14"/>
      <c r="E27" s="39"/>
      <c r="F27" s="39"/>
      <c r="G27" s="40"/>
      <c r="H27" s="41"/>
      <c r="I27" s="15" t="str">
        <f t="shared" si="4"/>
        <v/>
      </c>
      <c r="J27" s="16" t="str">
        <f t="shared" si="0"/>
        <v/>
      </c>
      <c r="K27" s="17" t="str">
        <f t="shared" si="1"/>
        <v/>
      </c>
      <c r="L27" s="18" t="str">
        <f t="shared" si="2"/>
        <v/>
      </c>
      <c r="M27" s="19" t="str">
        <f t="shared" si="3"/>
        <v/>
      </c>
      <c r="N27" s="14"/>
      <c r="O27" s="20"/>
      <c r="P27" s="14"/>
      <c r="Q27" s="14"/>
      <c r="R27" s="14"/>
      <c r="S27" s="14"/>
    </row>
    <row r="28" spans="1:19" ht="21.95" customHeight="1">
      <c r="A28" s="5"/>
      <c r="B28" s="6"/>
      <c r="C28" s="6"/>
      <c r="D28" s="6"/>
      <c r="E28" s="37"/>
      <c r="F28" s="37"/>
      <c r="G28" s="42"/>
      <c r="H28" s="38"/>
      <c r="I28" s="7" t="str">
        <f t="shared" si="4"/>
        <v/>
      </c>
      <c r="J28" s="8" t="str">
        <f t="shared" si="0"/>
        <v/>
      </c>
      <c r="K28" s="9" t="str">
        <f t="shared" si="1"/>
        <v/>
      </c>
      <c r="L28" s="10" t="str">
        <f t="shared" si="2"/>
        <v/>
      </c>
      <c r="M28" s="11" t="str">
        <f t="shared" si="3"/>
        <v/>
      </c>
      <c r="N28" s="6"/>
      <c r="O28" s="12"/>
      <c r="P28" s="6"/>
      <c r="Q28" s="6"/>
      <c r="R28" s="6"/>
      <c r="S28" s="6"/>
    </row>
    <row r="29" spans="1:19" ht="21.95" customHeight="1">
      <c r="A29" s="13"/>
      <c r="B29" s="14"/>
      <c r="C29" s="14"/>
      <c r="D29" s="14"/>
      <c r="E29" s="39"/>
      <c r="F29" s="39"/>
      <c r="G29" s="40"/>
      <c r="H29" s="41"/>
      <c r="I29" s="15" t="str">
        <f t="shared" si="4"/>
        <v/>
      </c>
      <c r="J29" s="16" t="str">
        <f t="shared" si="0"/>
        <v/>
      </c>
      <c r="K29" s="17" t="str">
        <f t="shared" si="1"/>
        <v/>
      </c>
      <c r="L29" s="18" t="str">
        <f t="shared" si="2"/>
        <v/>
      </c>
      <c r="M29" s="19" t="str">
        <f t="shared" si="3"/>
        <v/>
      </c>
      <c r="N29" s="14"/>
      <c r="O29" s="20"/>
      <c r="P29" s="14"/>
      <c r="Q29" s="14"/>
      <c r="R29" s="14"/>
      <c r="S29" s="14"/>
    </row>
    <row r="30" spans="1:19" ht="21.95" customHeight="1">
      <c r="A30" s="5"/>
      <c r="B30" s="6"/>
      <c r="C30" s="6"/>
      <c r="D30" s="6"/>
      <c r="E30" s="37"/>
      <c r="F30" s="37"/>
      <c r="G30" s="42"/>
      <c r="H30" s="38"/>
      <c r="I30" s="7" t="str">
        <f t="shared" si="4"/>
        <v/>
      </c>
      <c r="J30" s="8" t="str">
        <f t="shared" si="0"/>
        <v/>
      </c>
      <c r="K30" s="9" t="str">
        <f t="shared" si="1"/>
        <v/>
      </c>
      <c r="L30" s="10" t="str">
        <f t="shared" si="2"/>
        <v/>
      </c>
      <c r="M30" s="11" t="str">
        <f t="shared" si="3"/>
        <v/>
      </c>
      <c r="N30" s="6"/>
      <c r="O30" s="12"/>
      <c r="P30" s="6"/>
      <c r="Q30" s="6"/>
      <c r="R30" s="6"/>
      <c r="S30" s="6"/>
    </row>
    <row r="31" spans="1:19" ht="21.95" customHeight="1">
      <c r="A31" s="13"/>
      <c r="B31" s="14"/>
      <c r="C31" s="14"/>
      <c r="D31" s="14"/>
      <c r="E31" s="39"/>
      <c r="F31" s="39"/>
      <c r="G31" s="40"/>
      <c r="H31" s="41"/>
      <c r="I31" s="15" t="str">
        <f t="shared" si="4"/>
        <v/>
      </c>
      <c r="J31" s="16" t="str">
        <f t="shared" si="0"/>
        <v/>
      </c>
      <c r="K31" s="17" t="str">
        <f t="shared" si="1"/>
        <v/>
      </c>
      <c r="L31" s="18" t="str">
        <f t="shared" si="2"/>
        <v/>
      </c>
      <c r="M31" s="19" t="str">
        <f t="shared" si="3"/>
        <v/>
      </c>
      <c r="N31" s="14"/>
      <c r="O31" s="20"/>
      <c r="P31" s="14"/>
      <c r="Q31" s="14"/>
      <c r="R31" s="14"/>
      <c r="S31" s="14"/>
    </row>
    <row r="32" spans="1:19" ht="21.95" customHeight="1">
      <c r="A32" s="5"/>
      <c r="B32" s="6"/>
      <c r="C32" s="6"/>
      <c r="D32" s="6"/>
      <c r="E32" s="37"/>
      <c r="F32" s="37"/>
      <c r="G32" s="42"/>
      <c r="H32" s="38"/>
      <c r="I32" s="7" t="str">
        <f t="shared" si="4"/>
        <v/>
      </c>
      <c r="J32" s="8" t="str">
        <f t="shared" si="0"/>
        <v/>
      </c>
      <c r="K32" s="9" t="str">
        <f t="shared" si="1"/>
        <v/>
      </c>
      <c r="L32" s="10" t="str">
        <f t="shared" si="2"/>
        <v/>
      </c>
      <c r="M32" s="11" t="str">
        <f t="shared" si="3"/>
        <v/>
      </c>
      <c r="N32" s="6"/>
      <c r="O32" s="12"/>
      <c r="P32" s="6"/>
      <c r="Q32" s="6"/>
      <c r="R32" s="6"/>
      <c r="S32" s="6"/>
    </row>
    <row r="33" spans="1:19" ht="21.95" customHeight="1">
      <c r="A33" s="13"/>
      <c r="B33" s="14"/>
      <c r="C33" s="14"/>
      <c r="D33" s="14"/>
      <c r="E33" s="39"/>
      <c r="F33" s="39"/>
      <c r="G33" s="40"/>
      <c r="H33" s="41"/>
      <c r="I33" s="15" t="str">
        <f t="shared" si="4"/>
        <v/>
      </c>
      <c r="J33" s="16" t="str">
        <f t="shared" si="0"/>
        <v/>
      </c>
      <c r="K33" s="17" t="str">
        <f t="shared" si="1"/>
        <v/>
      </c>
      <c r="L33" s="18" t="str">
        <f t="shared" si="2"/>
        <v/>
      </c>
      <c r="M33" s="19" t="str">
        <f t="shared" si="3"/>
        <v/>
      </c>
      <c r="N33" s="14"/>
      <c r="O33" s="20"/>
      <c r="P33" s="14"/>
      <c r="Q33" s="14"/>
      <c r="R33" s="14"/>
      <c r="S33" s="14"/>
    </row>
    <row r="34" spans="1:19" ht="21.95" customHeight="1">
      <c r="A34" s="5"/>
      <c r="B34" s="6"/>
      <c r="C34" s="6"/>
      <c r="D34" s="6"/>
      <c r="E34" s="37"/>
      <c r="F34" s="37"/>
      <c r="G34" s="42"/>
      <c r="H34" s="38"/>
      <c r="I34" s="7" t="str">
        <f t="shared" si="4"/>
        <v/>
      </c>
      <c r="J34" s="8" t="str">
        <f t="shared" si="0"/>
        <v/>
      </c>
      <c r="K34" s="9" t="str">
        <f t="shared" si="1"/>
        <v/>
      </c>
      <c r="L34" s="10" t="str">
        <f t="shared" si="2"/>
        <v/>
      </c>
      <c r="M34" s="11" t="str">
        <f t="shared" si="3"/>
        <v/>
      </c>
      <c r="N34" s="6"/>
      <c r="O34" s="12"/>
      <c r="P34" s="6"/>
      <c r="Q34" s="6"/>
      <c r="R34" s="6"/>
      <c r="S34" s="6"/>
    </row>
    <row r="35" spans="1:19" ht="21.95" customHeight="1">
      <c r="A35" s="13"/>
      <c r="B35" s="14"/>
      <c r="C35" s="14"/>
      <c r="D35" s="14"/>
      <c r="E35" s="39"/>
      <c r="F35" s="39"/>
      <c r="G35" s="40"/>
      <c r="H35" s="41"/>
      <c r="I35" s="15" t="str">
        <f t="shared" si="4"/>
        <v/>
      </c>
      <c r="J35" s="16" t="str">
        <f t="shared" si="0"/>
        <v/>
      </c>
      <c r="K35" s="17" t="str">
        <f t="shared" si="1"/>
        <v/>
      </c>
      <c r="L35" s="18" t="str">
        <f t="shared" si="2"/>
        <v/>
      </c>
      <c r="M35" s="19" t="str">
        <f t="shared" si="3"/>
        <v/>
      </c>
      <c r="N35" s="14"/>
      <c r="O35" s="20"/>
      <c r="P35" s="14"/>
      <c r="Q35" s="14"/>
      <c r="R35" s="14"/>
      <c r="S35" s="14"/>
    </row>
    <row r="36" spans="1:19" ht="21.95" customHeight="1">
      <c r="A36" s="5"/>
      <c r="B36" s="6"/>
      <c r="C36" s="6"/>
      <c r="D36" s="6"/>
      <c r="E36" s="37"/>
      <c r="F36" s="37"/>
      <c r="G36" s="42"/>
      <c r="H36" s="38"/>
      <c r="I36" s="7" t="str">
        <f t="shared" si="4"/>
        <v/>
      </c>
      <c r="J36" s="8" t="str">
        <f t="shared" si="0"/>
        <v/>
      </c>
      <c r="K36" s="9" t="str">
        <f t="shared" si="1"/>
        <v/>
      </c>
      <c r="L36" s="10" t="str">
        <f t="shared" si="2"/>
        <v/>
      </c>
      <c r="M36" s="11" t="str">
        <f t="shared" si="3"/>
        <v/>
      </c>
      <c r="N36" s="6"/>
      <c r="O36" s="12"/>
      <c r="P36" s="6"/>
      <c r="Q36" s="6"/>
      <c r="R36" s="6"/>
      <c r="S36" s="6"/>
    </row>
    <row r="37" spans="1:19" ht="21.95" customHeight="1">
      <c r="A37" s="13"/>
      <c r="B37" s="14"/>
      <c r="C37" s="14"/>
      <c r="D37" s="14"/>
      <c r="E37" s="39"/>
      <c r="F37" s="39"/>
      <c r="G37" s="40"/>
      <c r="H37" s="41"/>
      <c r="I37" s="15" t="str">
        <f t="shared" si="4"/>
        <v/>
      </c>
      <c r="J37" s="16" t="str">
        <f t="shared" si="0"/>
        <v/>
      </c>
      <c r="K37" s="17" t="str">
        <f t="shared" si="1"/>
        <v/>
      </c>
      <c r="L37" s="18" t="str">
        <f t="shared" si="2"/>
        <v/>
      </c>
      <c r="M37" s="19" t="str">
        <f t="shared" si="3"/>
        <v/>
      </c>
      <c r="N37" s="14"/>
      <c r="O37" s="20"/>
      <c r="P37" s="14"/>
      <c r="Q37" s="14"/>
      <c r="R37" s="14"/>
      <c r="S37" s="14"/>
    </row>
    <row r="38" spans="1:19" ht="21.95" customHeight="1">
      <c r="A38" s="5"/>
      <c r="B38" s="6"/>
      <c r="C38" s="6"/>
      <c r="D38" s="6"/>
      <c r="E38" s="37"/>
      <c r="F38" s="37"/>
      <c r="G38" s="42"/>
      <c r="H38" s="38"/>
      <c r="I38" s="7" t="str">
        <f t="shared" ref="I38:I55" si="5">IF(OR(E38="",G38=""),"",ROUND(H38*E38/G38,2))</f>
        <v/>
      </c>
      <c r="J38" s="8" t="str">
        <f t="shared" ref="J38:J55" si="6">IF(OR(F38="",G38=""),"",ROUND(H38*(F38-E38)/G38,2))</f>
        <v/>
      </c>
      <c r="K38" s="9" t="str">
        <f t="shared" ref="K38:K55" si="7">IF(OR(E38="",F38=""),"",ROUND((F38-E38)/E38*100,2))</f>
        <v/>
      </c>
      <c r="L38" s="10" t="str">
        <f t="shared" ref="L38:L55" si="8">IF(K38="","",IF(K38&gt;=10,"✅ Win",IF(K38&gt;0,"⚠️ Partial","❌ Loss")))</f>
        <v/>
      </c>
      <c r="M38" s="11" t="str">
        <f t="shared" si="3"/>
        <v/>
      </c>
      <c r="N38" s="6"/>
      <c r="O38" s="12"/>
      <c r="P38" s="6"/>
      <c r="Q38" s="6"/>
      <c r="R38" s="6"/>
      <c r="S38" s="6"/>
    </row>
    <row r="39" spans="1:19" ht="21.95" customHeight="1">
      <c r="A39" s="13"/>
      <c r="B39" s="14"/>
      <c r="C39" s="14"/>
      <c r="D39" s="14"/>
      <c r="E39" s="39"/>
      <c r="F39" s="39"/>
      <c r="G39" s="40"/>
      <c r="H39" s="41"/>
      <c r="I39" s="15" t="str">
        <f t="shared" si="5"/>
        <v/>
      </c>
      <c r="J39" s="16" t="str">
        <f t="shared" si="6"/>
        <v/>
      </c>
      <c r="K39" s="17" t="str">
        <f t="shared" si="7"/>
        <v/>
      </c>
      <c r="L39" s="18" t="str">
        <f t="shared" si="8"/>
        <v/>
      </c>
      <c r="M39" s="19" t="str">
        <f t="shared" ref="M39:M55" si="9">IF(J39="","",M38+J39)</f>
        <v/>
      </c>
      <c r="N39" s="14"/>
      <c r="O39" s="20"/>
      <c r="P39" s="14"/>
      <c r="Q39" s="14"/>
      <c r="R39" s="14"/>
      <c r="S39" s="14"/>
    </row>
    <row r="40" spans="1:19" ht="21.95" customHeight="1">
      <c r="A40" s="5"/>
      <c r="B40" s="6"/>
      <c r="C40" s="6"/>
      <c r="D40" s="6"/>
      <c r="E40" s="37"/>
      <c r="F40" s="37"/>
      <c r="G40" s="42"/>
      <c r="H40" s="38"/>
      <c r="I40" s="7" t="str">
        <f t="shared" si="5"/>
        <v/>
      </c>
      <c r="J40" s="8" t="str">
        <f t="shared" si="6"/>
        <v/>
      </c>
      <c r="K40" s="9" t="str">
        <f t="shared" si="7"/>
        <v/>
      </c>
      <c r="L40" s="10" t="str">
        <f t="shared" si="8"/>
        <v/>
      </c>
      <c r="M40" s="11" t="str">
        <f t="shared" si="9"/>
        <v/>
      </c>
      <c r="N40" s="6"/>
      <c r="O40" s="12"/>
      <c r="P40" s="6"/>
      <c r="Q40" s="6"/>
      <c r="R40" s="6"/>
      <c r="S40" s="6"/>
    </row>
    <row r="41" spans="1:19" ht="21.95" customHeight="1">
      <c r="A41" s="13"/>
      <c r="B41" s="14"/>
      <c r="C41" s="14"/>
      <c r="D41" s="14"/>
      <c r="E41" s="39"/>
      <c r="F41" s="39"/>
      <c r="G41" s="40"/>
      <c r="H41" s="41"/>
      <c r="I41" s="15" t="str">
        <f t="shared" si="5"/>
        <v/>
      </c>
      <c r="J41" s="16" t="str">
        <f t="shared" si="6"/>
        <v/>
      </c>
      <c r="K41" s="17" t="str">
        <f t="shared" si="7"/>
        <v/>
      </c>
      <c r="L41" s="18" t="str">
        <f t="shared" si="8"/>
        <v/>
      </c>
      <c r="M41" s="19" t="str">
        <f t="shared" si="9"/>
        <v/>
      </c>
      <c r="N41" s="14"/>
      <c r="O41" s="20"/>
      <c r="P41" s="14"/>
      <c r="Q41" s="14"/>
      <c r="R41" s="14"/>
      <c r="S41" s="14"/>
    </row>
    <row r="42" spans="1:19" ht="21.95" customHeight="1">
      <c r="A42" s="5"/>
      <c r="B42" s="6"/>
      <c r="C42" s="6"/>
      <c r="D42" s="6"/>
      <c r="E42" s="37"/>
      <c r="F42" s="37"/>
      <c r="G42" s="42"/>
      <c r="H42" s="38"/>
      <c r="I42" s="7" t="str">
        <f t="shared" si="5"/>
        <v/>
      </c>
      <c r="J42" s="8" t="str">
        <f t="shared" si="6"/>
        <v/>
      </c>
      <c r="K42" s="9" t="str">
        <f t="shared" si="7"/>
        <v/>
      </c>
      <c r="L42" s="10" t="str">
        <f t="shared" si="8"/>
        <v/>
      </c>
      <c r="M42" s="11" t="str">
        <f t="shared" si="9"/>
        <v/>
      </c>
      <c r="N42" s="6"/>
      <c r="O42" s="12"/>
      <c r="P42" s="6"/>
      <c r="Q42" s="6"/>
      <c r="R42" s="6"/>
      <c r="S42" s="6"/>
    </row>
    <row r="43" spans="1:19" ht="21.95" customHeight="1">
      <c r="A43" s="13"/>
      <c r="B43" s="14"/>
      <c r="C43" s="14"/>
      <c r="D43" s="14"/>
      <c r="E43" s="39"/>
      <c r="F43" s="39"/>
      <c r="G43" s="40"/>
      <c r="H43" s="41"/>
      <c r="I43" s="15" t="str">
        <f t="shared" si="5"/>
        <v/>
      </c>
      <c r="J43" s="16" t="str">
        <f t="shared" si="6"/>
        <v/>
      </c>
      <c r="K43" s="17" t="str">
        <f t="shared" si="7"/>
        <v/>
      </c>
      <c r="L43" s="18" t="str">
        <f t="shared" si="8"/>
        <v/>
      </c>
      <c r="M43" s="19" t="str">
        <f t="shared" si="9"/>
        <v/>
      </c>
      <c r="N43" s="14"/>
      <c r="O43" s="20"/>
      <c r="P43" s="14"/>
      <c r="Q43" s="14"/>
      <c r="R43" s="14"/>
      <c r="S43" s="14"/>
    </row>
    <row r="44" spans="1:19" ht="21.95" customHeight="1">
      <c r="A44" s="5"/>
      <c r="B44" s="6"/>
      <c r="C44" s="6"/>
      <c r="D44" s="6"/>
      <c r="E44" s="37"/>
      <c r="F44" s="37"/>
      <c r="G44" s="42"/>
      <c r="H44" s="38"/>
      <c r="I44" s="7" t="str">
        <f t="shared" si="5"/>
        <v/>
      </c>
      <c r="J44" s="8" t="str">
        <f t="shared" si="6"/>
        <v/>
      </c>
      <c r="K44" s="9" t="str">
        <f t="shared" si="7"/>
        <v/>
      </c>
      <c r="L44" s="10" t="str">
        <f t="shared" si="8"/>
        <v/>
      </c>
      <c r="M44" s="11" t="str">
        <f t="shared" si="9"/>
        <v/>
      </c>
      <c r="N44" s="6"/>
      <c r="O44" s="12"/>
      <c r="P44" s="6"/>
      <c r="Q44" s="6"/>
      <c r="R44" s="6"/>
      <c r="S44" s="6"/>
    </row>
    <row r="45" spans="1:19" ht="21.95" customHeight="1">
      <c r="A45" s="13"/>
      <c r="B45" s="14"/>
      <c r="C45" s="14"/>
      <c r="D45" s="14"/>
      <c r="E45" s="39"/>
      <c r="F45" s="39"/>
      <c r="G45" s="40"/>
      <c r="H45" s="41"/>
      <c r="I45" s="15" t="str">
        <f t="shared" si="5"/>
        <v/>
      </c>
      <c r="J45" s="16" t="str">
        <f t="shared" si="6"/>
        <v/>
      </c>
      <c r="K45" s="17" t="str">
        <f t="shared" si="7"/>
        <v/>
      </c>
      <c r="L45" s="18" t="str">
        <f t="shared" si="8"/>
        <v/>
      </c>
      <c r="M45" s="19" t="str">
        <f t="shared" si="9"/>
        <v/>
      </c>
      <c r="N45" s="14"/>
      <c r="O45" s="20"/>
      <c r="P45" s="14"/>
      <c r="Q45" s="14"/>
      <c r="R45" s="14"/>
      <c r="S45" s="14"/>
    </row>
    <row r="46" spans="1:19" ht="21.95" customHeight="1">
      <c r="A46" s="5"/>
      <c r="B46" s="6"/>
      <c r="C46" s="6"/>
      <c r="D46" s="6"/>
      <c r="E46" s="37"/>
      <c r="F46" s="37"/>
      <c r="G46" s="42"/>
      <c r="H46" s="38"/>
      <c r="I46" s="7" t="str">
        <f t="shared" si="5"/>
        <v/>
      </c>
      <c r="J46" s="8" t="str">
        <f t="shared" si="6"/>
        <v/>
      </c>
      <c r="K46" s="9" t="str">
        <f t="shared" si="7"/>
        <v/>
      </c>
      <c r="L46" s="10" t="str">
        <f t="shared" si="8"/>
        <v/>
      </c>
      <c r="M46" s="11" t="str">
        <f t="shared" si="9"/>
        <v/>
      </c>
      <c r="N46" s="6"/>
      <c r="O46" s="12"/>
      <c r="P46" s="6"/>
      <c r="Q46" s="6"/>
      <c r="R46" s="6"/>
      <c r="S46" s="6"/>
    </row>
    <row r="47" spans="1:19" ht="21.95" customHeight="1">
      <c r="A47" s="13"/>
      <c r="B47" s="14"/>
      <c r="C47" s="14"/>
      <c r="D47" s="14"/>
      <c r="E47" s="39"/>
      <c r="F47" s="39"/>
      <c r="G47" s="40"/>
      <c r="H47" s="41"/>
      <c r="I47" s="15" t="str">
        <f t="shared" si="5"/>
        <v/>
      </c>
      <c r="J47" s="16" t="str">
        <f t="shared" si="6"/>
        <v/>
      </c>
      <c r="K47" s="17" t="str">
        <f t="shared" si="7"/>
        <v/>
      </c>
      <c r="L47" s="18" t="str">
        <f t="shared" si="8"/>
        <v/>
      </c>
      <c r="M47" s="19" t="str">
        <f t="shared" si="9"/>
        <v/>
      </c>
      <c r="N47" s="14"/>
      <c r="O47" s="20"/>
      <c r="P47" s="14"/>
      <c r="Q47" s="14"/>
      <c r="R47" s="14"/>
      <c r="S47" s="14"/>
    </row>
    <row r="48" spans="1:19" ht="21.95" customHeight="1">
      <c r="A48" s="5"/>
      <c r="B48" s="6"/>
      <c r="C48" s="6"/>
      <c r="D48" s="6"/>
      <c r="E48" s="37"/>
      <c r="F48" s="37"/>
      <c r="G48" s="42"/>
      <c r="H48" s="38"/>
      <c r="I48" s="7" t="str">
        <f t="shared" si="5"/>
        <v/>
      </c>
      <c r="J48" s="8" t="str">
        <f t="shared" si="6"/>
        <v/>
      </c>
      <c r="K48" s="9" t="str">
        <f t="shared" si="7"/>
        <v/>
      </c>
      <c r="L48" s="10" t="str">
        <f t="shared" si="8"/>
        <v/>
      </c>
      <c r="M48" s="11" t="str">
        <f t="shared" si="9"/>
        <v/>
      </c>
      <c r="N48" s="6"/>
      <c r="O48" s="12"/>
      <c r="P48" s="6"/>
      <c r="Q48" s="6"/>
      <c r="R48" s="6"/>
      <c r="S48" s="6"/>
    </row>
    <row r="49" spans="1:19" ht="21.95" customHeight="1">
      <c r="A49" s="13"/>
      <c r="B49" s="14"/>
      <c r="C49" s="14"/>
      <c r="D49" s="14"/>
      <c r="E49" s="39"/>
      <c r="F49" s="39"/>
      <c r="G49" s="40"/>
      <c r="H49" s="41"/>
      <c r="I49" s="15" t="str">
        <f t="shared" si="5"/>
        <v/>
      </c>
      <c r="J49" s="16" t="str">
        <f t="shared" si="6"/>
        <v/>
      </c>
      <c r="K49" s="17" t="str">
        <f t="shared" si="7"/>
        <v/>
      </c>
      <c r="L49" s="18" t="str">
        <f t="shared" si="8"/>
        <v/>
      </c>
      <c r="M49" s="19" t="str">
        <f t="shared" si="9"/>
        <v/>
      </c>
      <c r="N49" s="14"/>
      <c r="O49" s="20"/>
      <c r="P49" s="14"/>
      <c r="Q49" s="14"/>
      <c r="R49" s="14"/>
      <c r="S49" s="14"/>
    </row>
    <row r="50" spans="1:19" ht="21.95" customHeight="1">
      <c r="A50" s="5"/>
      <c r="B50" s="6"/>
      <c r="C50" s="6"/>
      <c r="D50" s="6"/>
      <c r="E50" s="37"/>
      <c r="F50" s="37"/>
      <c r="G50" s="42"/>
      <c r="H50" s="38"/>
      <c r="I50" s="7" t="str">
        <f t="shared" si="5"/>
        <v/>
      </c>
      <c r="J50" s="8" t="str">
        <f t="shared" si="6"/>
        <v/>
      </c>
      <c r="K50" s="9" t="str">
        <f t="shared" si="7"/>
        <v/>
      </c>
      <c r="L50" s="10" t="str">
        <f t="shared" si="8"/>
        <v/>
      </c>
      <c r="M50" s="11" t="str">
        <f t="shared" si="9"/>
        <v/>
      </c>
      <c r="N50" s="6"/>
      <c r="O50" s="12"/>
      <c r="P50" s="6"/>
      <c r="Q50" s="6"/>
      <c r="R50" s="6"/>
      <c r="S50" s="6"/>
    </row>
    <row r="51" spans="1:19" ht="21.95" customHeight="1">
      <c r="A51" s="13"/>
      <c r="B51" s="14"/>
      <c r="C51" s="14"/>
      <c r="D51" s="14"/>
      <c r="E51" s="39"/>
      <c r="F51" s="39"/>
      <c r="G51" s="40"/>
      <c r="H51" s="41"/>
      <c r="I51" s="15" t="str">
        <f t="shared" si="5"/>
        <v/>
      </c>
      <c r="J51" s="16" t="str">
        <f t="shared" si="6"/>
        <v/>
      </c>
      <c r="K51" s="17" t="str">
        <f t="shared" si="7"/>
        <v/>
      </c>
      <c r="L51" s="18" t="str">
        <f t="shared" si="8"/>
        <v/>
      </c>
      <c r="M51" s="19" t="str">
        <f t="shared" si="9"/>
        <v/>
      </c>
      <c r="N51" s="14"/>
      <c r="O51" s="20"/>
      <c r="P51" s="14"/>
      <c r="Q51" s="14"/>
      <c r="R51" s="14"/>
      <c r="S51" s="14"/>
    </row>
    <row r="52" spans="1:19" ht="21.95" customHeight="1">
      <c r="A52" s="5"/>
      <c r="B52" s="6"/>
      <c r="C52" s="6"/>
      <c r="D52" s="6"/>
      <c r="E52" s="37"/>
      <c r="F52" s="37"/>
      <c r="G52" s="42"/>
      <c r="H52" s="38"/>
      <c r="I52" s="7" t="str">
        <f t="shared" si="5"/>
        <v/>
      </c>
      <c r="J52" s="8" t="str">
        <f t="shared" si="6"/>
        <v/>
      </c>
      <c r="K52" s="9" t="str">
        <f t="shared" si="7"/>
        <v/>
      </c>
      <c r="L52" s="10" t="str">
        <f t="shared" si="8"/>
        <v/>
      </c>
      <c r="M52" s="11" t="str">
        <f t="shared" si="9"/>
        <v/>
      </c>
      <c r="N52" s="6"/>
      <c r="O52" s="12"/>
      <c r="P52" s="6"/>
      <c r="Q52" s="6"/>
      <c r="R52" s="6"/>
      <c r="S52" s="6"/>
    </row>
    <row r="53" spans="1:19" ht="21.95" customHeight="1">
      <c r="A53" s="13"/>
      <c r="B53" s="14"/>
      <c r="C53" s="14"/>
      <c r="D53" s="14"/>
      <c r="E53" s="39"/>
      <c r="F53" s="39"/>
      <c r="G53" s="40"/>
      <c r="H53" s="41"/>
      <c r="I53" s="15" t="str">
        <f t="shared" si="5"/>
        <v/>
      </c>
      <c r="J53" s="16" t="str">
        <f t="shared" si="6"/>
        <v/>
      </c>
      <c r="K53" s="17" t="str">
        <f t="shared" si="7"/>
        <v/>
      </c>
      <c r="L53" s="18" t="str">
        <f t="shared" si="8"/>
        <v/>
      </c>
      <c r="M53" s="19" t="str">
        <f t="shared" si="9"/>
        <v/>
      </c>
      <c r="N53" s="14"/>
      <c r="O53" s="20"/>
      <c r="P53" s="14"/>
      <c r="Q53" s="14"/>
      <c r="R53" s="14"/>
      <c r="S53" s="14"/>
    </row>
    <row r="54" spans="1:19" ht="21.95" customHeight="1">
      <c r="A54" s="5"/>
      <c r="B54" s="6"/>
      <c r="C54" s="6"/>
      <c r="D54" s="6"/>
      <c r="E54" s="37"/>
      <c r="F54" s="37"/>
      <c r="G54" s="42"/>
      <c r="H54" s="38"/>
      <c r="I54" s="7" t="str">
        <f t="shared" si="5"/>
        <v/>
      </c>
      <c r="J54" s="8" t="str">
        <f t="shared" si="6"/>
        <v/>
      </c>
      <c r="K54" s="9" t="str">
        <f t="shared" si="7"/>
        <v/>
      </c>
      <c r="L54" s="10" t="str">
        <f t="shared" si="8"/>
        <v/>
      </c>
      <c r="M54" s="11" t="str">
        <f t="shared" si="9"/>
        <v/>
      </c>
      <c r="N54" s="6"/>
      <c r="O54" s="12"/>
      <c r="P54" s="6"/>
      <c r="Q54" s="6"/>
      <c r="R54" s="6"/>
      <c r="S54" s="6"/>
    </row>
    <row r="55" spans="1:19" ht="21.95" customHeight="1">
      <c r="A55" s="13"/>
      <c r="B55" s="14"/>
      <c r="C55" s="14"/>
      <c r="D55" s="14"/>
      <c r="E55" s="39"/>
      <c r="F55" s="39"/>
      <c r="G55" s="40"/>
      <c r="H55" s="41"/>
      <c r="I55" s="15" t="str">
        <f t="shared" si="5"/>
        <v/>
      </c>
      <c r="J55" s="16" t="str">
        <f t="shared" si="6"/>
        <v/>
      </c>
      <c r="K55" s="17" t="str">
        <f t="shared" si="7"/>
        <v/>
      </c>
      <c r="L55" s="18" t="str">
        <f t="shared" si="8"/>
        <v/>
      </c>
      <c r="M55" s="19" t="str">
        <f t="shared" si="9"/>
        <v/>
      </c>
      <c r="N55" s="14"/>
      <c r="O55" s="20"/>
      <c r="P55" s="14"/>
      <c r="Q55" s="14"/>
      <c r="R55" s="14"/>
      <c r="S55" s="14"/>
    </row>
  </sheetData>
  <mergeCells count="6">
    <mergeCell ref="A4:H4"/>
    <mergeCell ref="I4:M4"/>
    <mergeCell ref="A2:R2"/>
    <mergeCell ref="N4:Q4"/>
    <mergeCell ref="A1:R1"/>
    <mergeCell ref="R4:S4"/>
  </mergeCells>
  <phoneticPr fontId="20" type="noConversion"/>
  <conditionalFormatting sqref="J6:J55">
    <cfRule type="cellIs" dxfId="2" priority="1" operator="greaterThanOrEqual">
      <formula>10</formula>
    </cfRule>
    <cfRule type="cellIs" dxfId="1" priority="2" operator="between">
      <formula>0</formula>
      <formula>9.99</formula>
    </cfRule>
    <cfRule type="cellIs" dxfId="0" priority="3" operator="lessThan">
      <formula>0</formula>
    </cfRule>
  </conditionalFormatting>
  <conditionalFormatting sqref="L6:L55">
    <cfRule type="colorScale" priority="4">
      <colorScale>
        <cfvo type="num" val="0"/>
        <cfvo type="num" val="50"/>
        <cfvo type="num" val="200"/>
        <color rgb="FFFADBD8"/>
        <color rgb="FFFDFEFE"/>
        <color rgb="FFD5F5E3"/>
      </colorScale>
    </cfRule>
  </conditionalFormatting>
  <dataValidations disablePrompts="1" count="1">
    <dataValidation type="list" allowBlank="1" sqref="P6:P55" xr:uid="{00000000-0002-0000-0000-000000000000}">
      <formula1>"🟢 Green,🟡 Amber,🔴 Red,N/A"</formula1>
    </dataValidation>
  </dataValidations>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69"/>
  <sheetViews>
    <sheetView showGridLines="0" workbookViewId="0"/>
  </sheetViews>
  <sheetFormatPr defaultRowHeight="15"/>
  <cols>
    <col min="1" max="10" width="13" customWidth="1"/>
  </cols>
  <sheetData>
    <row r="1" spans="1:12" ht="36" customHeight="1">
      <c r="A1" s="56" t="s">
        <v>31</v>
      </c>
      <c r="B1" s="54"/>
      <c r="C1" s="54"/>
      <c r="D1" s="54"/>
      <c r="E1" s="54"/>
      <c r="F1" s="54"/>
      <c r="G1" s="54"/>
      <c r="H1" s="54"/>
      <c r="I1" s="54"/>
      <c r="J1" s="54"/>
      <c r="K1" s="54"/>
      <c r="L1" s="54"/>
    </row>
    <row r="2" spans="1:12" ht="20.100000000000001" customHeight="1">
      <c r="A2" s="53" t="s">
        <v>32</v>
      </c>
      <c r="B2" s="54"/>
      <c r="C2" s="54"/>
      <c r="D2" s="54"/>
      <c r="E2" s="54"/>
      <c r="F2" s="54"/>
      <c r="G2" s="54"/>
      <c r="H2" s="54"/>
      <c r="I2" s="54"/>
      <c r="J2" s="54"/>
      <c r="K2" s="54"/>
      <c r="L2" s="54"/>
    </row>
    <row r="4" spans="1:12" ht="21.95" customHeight="1">
      <c r="A4" s="58" t="s">
        <v>33</v>
      </c>
      <c r="B4" s="59"/>
      <c r="C4" s="72" t="s">
        <v>34</v>
      </c>
      <c r="D4" s="59"/>
      <c r="E4" s="72" t="s">
        <v>35</v>
      </c>
      <c r="F4" s="59"/>
      <c r="G4" s="60" t="s">
        <v>36</v>
      </c>
      <c r="H4" s="59"/>
      <c r="I4" s="61" t="s">
        <v>37</v>
      </c>
      <c r="J4" s="59"/>
      <c r="K4" s="71" t="s">
        <v>38</v>
      </c>
      <c r="L4" s="59"/>
    </row>
    <row r="5" spans="1:12" ht="42" customHeight="1">
      <c r="A5" s="74" t="str">
        <f>'Trade Log'!L55</f>
        <v/>
      </c>
      <c r="B5" s="64"/>
      <c r="C5" s="65">
        <f>SUM('Trade Log'!I6:I55)</f>
        <v>100.72</v>
      </c>
      <c r="D5" s="64"/>
      <c r="E5" s="67">
        <f>COUNTA('Trade Log'!B6:B55)</f>
        <v>2</v>
      </c>
      <c r="F5" s="64"/>
      <c r="G5" s="67">
        <f>COUNTIF('Trade Log'!J6:J55,"&gt;="&amp;10)</f>
        <v>0</v>
      </c>
      <c r="H5" s="64"/>
      <c r="I5" s="67">
        <f>COUNTIF('Trade Log'!J6:J55,"&lt;0")</f>
        <v>0</v>
      </c>
      <c r="J5" s="64"/>
      <c r="K5" s="68">
        <f>IFERROR(COUNTIF('Trade Log'!J6:J55,"&gt;="&amp;10)/COUNTA('Trade Log'!B6:B55),0)</f>
        <v>0</v>
      </c>
      <c r="L5" s="64"/>
    </row>
    <row r="8" spans="1:12" ht="21.95" customHeight="1">
      <c r="A8" s="72" t="s">
        <v>39</v>
      </c>
      <c r="B8" s="59"/>
      <c r="C8" s="60" t="s">
        <v>40</v>
      </c>
      <c r="D8" s="59"/>
      <c r="E8" s="61" t="s">
        <v>41</v>
      </c>
      <c r="F8" s="59"/>
      <c r="G8" s="58" t="s">
        <v>42</v>
      </c>
      <c r="H8" s="59"/>
      <c r="I8" s="71" t="s">
        <v>43</v>
      </c>
      <c r="J8" s="59"/>
      <c r="K8" s="73" t="s">
        <v>44</v>
      </c>
      <c r="L8" s="59"/>
    </row>
    <row r="9" spans="1:12" ht="42" customHeight="1">
      <c r="A9" s="66">
        <f>IFERROR(AVERAGE('Trade Log'!J6:J55),0)</f>
        <v>1.5549999999999999</v>
      </c>
      <c r="B9" s="64"/>
      <c r="C9" s="66">
        <f>IFERROR(MAX('Trade Log'!J6:J55),0)</f>
        <v>2.5099999999999998</v>
      </c>
      <c r="D9" s="64"/>
      <c r="E9" s="66">
        <f>IFERROR(MIN('Trade Log'!J6:J55),0)</f>
        <v>0.6</v>
      </c>
      <c r="F9" s="64"/>
      <c r="G9" s="67">
        <f>MAX(0,98-COUNTA('Trade Log'!B6:B55))</f>
        <v>96</v>
      </c>
      <c r="H9" s="64"/>
      <c r="I9" s="70">
        <f>IFERROR(AVERAGE('Trade Log'!M6:M55),0)</f>
        <v>51.855000000000004</v>
      </c>
      <c r="J9" s="64"/>
      <c r="K9" s="66">
        <f>IFERROR(AVERAGE('Trade Log'!N6:N55),0)</f>
        <v>13.5623</v>
      </c>
      <c r="L9" s="64"/>
    </row>
    <row r="14" spans="1:12" ht="8.1" customHeight="1"/>
    <row r="15" spans="1:12" ht="24" customHeight="1">
      <c r="A15" s="69" t="s">
        <v>45</v>
      </c>
      <c r="B15" s="54"/>
      <c r="C15" s="54"/>
      <c r="D15" s="54"/>
      <c r="E15" s="54"/>
      <c r="F15" s="54"/>
      <c r="G15" s="54"/>
      <c r="H15" s="54"/>
      <c r="I15" s="54"/>
      <c r="J15" s="54"/>
      <c r="K15" s="54"/>
      <c r="L15" s="54"/>
    </row>
    <row r="16" spans="1:12" ht="32.1" customHeight="1">
      <c r="A16" s="62" t="e">
        <f>'Trade Log'!L55&amp;"  of  £1,000,000  ("&amp;TEXT('Trade Log'!L55/1000000,"0.0000%")&amp;" there)"</f>
        <v>#VALUE!</v>
      </c>
      <c r="B16" s="63"/>
      <c r="C16" s="63"/>
      <c r="D16" s="63"/>
      <c r="E16" s="63"/>
      <c r="F16" s="63"/>
      <c r="G16" s="63"/>
      <c r="H16" s="63"/>
      <c r="I16" s="63"/>
      <c r="J16" s="63"/>
      <c r="K16" s="63"/>
      <c r="L16" s="64"/>
    </row>
    <row r="18" spans="1:10" ht="8.1" customHeight="1"/>
    <row r="19" spans="1:10" ht="24" customHeight="1">
      <c r="A19" s="21" t="s">
        <v>6</v>
      </c>
      <c r="B19" s="21" t="s">
        <v>7</v>
      </c>
      <c r="C19" s="21" t="s">
        <v>46</v>
      </c>
      <c r="D19" s="21" t="s">
        <v>47</v>
      </c>
      <c r="E19" s="21" t="s">
        <v>48</v>
      </c>
      <c r="F19" s="21" t="s">
        <v>49</v>
      </c>
      <c r="G19" s="21" t="s">
        <v>50</v>
      </c>
      <c r="H19" s="21" t="s">
        <v>51</v>
      </c>
      <c r="I19" s="21" t="s">
        <v>20</v>
      </c>
      <c r="J19" s="21" t="s">
        <v>52</v>
      </c>
    </row>
    <row r="20" spans="1:10" ht="20.100000000000001" customHeight="1">
      <c r="A20" s="22">
        <f>IF('Trade Log'!B6="","",'Trade Log'!A6)</f>
        <v>46174</v>
      </c>
      <c r="B20" s="23" t="str">
        <f>IF('Trade Log'!B6="","",'Trade Log'!B6)</f>
        <v>SPCE</v>
      </c>
      <c r="C20" s="24">
        <f>IF('Trade Log'!B6="","",'Trade Log'!E6)</f>
        <v>7.52</v>
      </c>
      <c r="D20" s="24">
        <f>IF('Trade Log'!B6="","",'Trade Log'!F6)</f>
        <v>7.61</v>
      </c>
      <c r="E20" s="25">
        <f>IF('Trade Log'!B6="","",'Trade Log'!I6)</f>
        <v>49.92</v>
      </c>
      <c r="F20" s="26">
        <f>IF('Trade Log'!B6="","",'Trade Log'!J6)</f>
        <v>0.6</v>
      </c>
      <c r="G20" s="23">
        <f>IF('Trade Log'!B6="","",'Trade Log'!K6)</f>
        <v>1.2</v>
      </c>
      <c r="H20" s="23">
        <f>IF('Trade Log'!B6="","",'Trade Log'!M6)</f>
        <v>50.6</v>
      </c>
      <c r="I20" s="26">
        <f>IF('Trade Log'!B6="","",'Trade Log'!N6)</f>
        <v>12.752599999999999</v>
      </c>
      <c r="J20" s="27" t="str">
        <f>IF('Trade Log'!B6="","",'Trade Log'!L6)</f>
        <v>⚠️ Partial</v>
      </c>
    </row>
    <row r="21" spans="1:10" ht="20.100000000000001" customHeight="1">
      <c r="A21" s="28">
        <f>IF('Trade Log'!B7="","",'Trade Log'!A7)</f>
        <v>46175</v>
      </c>
      <c r="B21" s="29" t="str">
        <f>IF('Trade Log'!B7="","",'Trade Log'!B7)</f>
        <v>NAMM</v>
      </c>
      <c r="C21" s="30">
        <f>IF('Trade Log'!B7="","",'Trade Log'!E7)</f>
        <v>2.02</v>
      </c>
      <c r="D21" s="30">
        <f>IF('Trade Log'!B7="","",'Trade Log'!F7)</f>
        <v>2.12</v>
      </c>
      <c r="E21" s="31">
        <f>IF('Trade Log'!B7="","",'Trade Log'!I7)</f>
        <v>50.8</v>
      </c>
      <c r="F21" s="32">
        <f>IF('Trade Log'!B7="","",'Trade Log'!J7)</f>
        <v>2.5099999999999998</v>
      </c>
      <c r="G21" s="29">
        <f>IF('Trade Log'!B7="","",'Trade Log'!K7)</f>
        <v>4.95</v>
      </c>
      <c r="H21" s="29">
        <f>IF('Trade Log'!B7="","",'Trade Log'!M7)</f>
        <v>53.11</v>
      </c>
      <c r="I21" s="32">
        <f>IF('Trade Log'!B7="","",'Trade Log'!N7)</f>
        <v>14.372</v>
      </c>
      <c r="J21" s="33" t="str">
        <f>IF('Trade Log'!B7="","",'Trade Log'!L7)</f>
        <v>⚠️ Partial</v>
      </c>
    </row>
    <row r="22" spans="1:10" ht="20.100000000000001" customHeight="1">
      <c r="A22" s="22" t="str">
        <f>IF('Trade Log'!B8="","",'Trade Log'!A8)</f>
        <v/>
      </c>
      <c r="B22" s="23" t="str">
        <f>IF('Trade Log'!B8="","",'Trade Log'!B8)</f>
        <v/>
      </c>
      <c r="C22" s="24" t="str">
        <f>IF('Trade Log'!B8="","",'Trade Log'!E8)</f>
        <v/>
      </c>
      <c r="D22" s="24" t="str">
        <f>IF('Trade Log'!B8="","",'Trade Log'!F8)</f>
        <v/>
      </c>
      <c r="E22" s="25" t="str">
        <f>IF('Trade Log'!B8="","",'Trade Log'!I8)</f>
        <v/>
      </c>
      <c r="F22" s="26" t="str">
        <f>IF('Trade Log'!B8="","",'Trade Log'!J8)</f>
        <v/>
      </c>
      <c r="G22" s="23" t="str">
        <f>IF('Trade Log'!B8="","",'Trade Log'!K8)</f>
        <v/>
      </c>
      <c r="H22" s="23" t="str">
        <f>IF('Trade Log'!B8="","",'Trade Log'!M8)</f>
        <v/>
      </c>
      <c r="I22" s="26" t="str">
        <f>IF('Trade Log'!B8="","",'Trade Log'!N8)</f>
        <v/>
      </c>
      <c r="J22" s="27" t="str">
        <f>IF('Trade Log'!B8="","",'Trade Log'!L8)</f>
        <v/>
      </c>
    </row>
    <row r="23" spans="1:10" ht="20.100000000000001" customHeight="1">
      <c r="A23" s="28" t="str">
        <f>IF('Trade Log'!B9="","",'Trade Log'!A9)</f>
        <v/>
      </c>
      <c r="B23" s="29" t="str">
        <f>IF('Trade Log'!B9="","",'Trade Log'!B9)</f>
        <v/>
      </c>
      <c r="C23" s="30" t="str">
        <f>IF('Trade Log'!B9="","",'Trade Log'!E9)</f>
        <v/>
      </c>
      <c r="D23" s="30" t="str">
        <f>IF('Trade Log'!B9="","",'Trade Log'!F9)</f>
        <v/>
      </c>
      <c r="E23" s="31" t="str">
        <f>IF('Trade Log'!B9="","",'Trade Log'!I9)</f>
        <v/>
      </c>
      <c r="F23" s="32" t="str">
        <f>IF('Trade Log'!B9="","",'Trade Log'!J9)</f>
        <v/>
      </c>
      <c r="G23" s="29" t="str">
        <f>IF('Trade Log'!B9="","",'Trade Log'!K9)</f>
        <v/>
      </c>
      <c r="H23" s="29" t="str">
        <f>IF('Trade Log'!B9="","",'Trade Log'!M9)</f>
        <v/>
      </c>
      <c r="I23" s="32" t="str">
        <f>IF('Trade Log'!B9="","",'Trade Log'!N9)</f>
        <v/>
      </c>
      <c r="J23" s="33" t="str">
        <f>IF('Trade Log'!B9="","",'Trade Log'!L9)</f>
        <v/>
      </c>
    </row>
    <row r="24" spans="1:10" ht="20.100000000000001" customHeight="1">
      <c r="A24" s="22" t="str">
        <f>IF('Trade Log'!B10="","",'Trade Log'!A10)</f>
        <v/>
      </c>
      <c r="B24" s="23" t="str">
        <f>IF('Trade Log'!B10="","",'Trade Log'!B10)</f>
        <v/>
      </c>
      <c r="C24" s="24" t="str">
        <f>IF('Trade Log'!B10="","",'Trade Log'!E10)</f>
        <v/>
      </c>
      <c r="D24" s="24" t="str">
        <f>IF('Trade Log'!B10="","",'Trade Log'!F10)</f>
        <v/>
      </c>
      <c r="E24" s="25" t="str">
        <f>IF('Trade Log'!B10="","",'Trade Log'!I10)</f>
        <v/>
      </c>
      <c r="F24" s="26" t="str">
        <f>IF('Trade Log'!B10="","",'Trade Log'!J10)</f>
        <v/>
      </c>
      <c r="G24" s="23" t="str">
        <f>IF('Trade Log'!B10="","",'Trade Log'!K10)</f>
        <v/>
      </c>
      <c r="H24" s="23" t="str">
        <f>IF('Trade Log'!B10="","",'Trade Log'!M10)</f>
        <v/>
      </c>
      <c r="I24" s="26" t="str">
        <f>IF('Trade Log'!B10="","",'Trade Log'!N10)</f>
        <v/>
      </c>
      <c r="J24" s="27" t="str">
        <f>IF('Trade Log'!B10="","",'Trade Log'!L10)</f>
        <v/>
      </c>
    </row>
    <row r="25" spans="1:10" ht="20.100000000000001" customHeight="1">
      <c r="A25" s="28" t="str">
        <f>IF('Trade Log'!B11="","",'Trade Log'!A11)</f>
        <v/>
      </c>
      <c r="B25" s="29" t="str">
        <f>IF('Trade Log'!B11="","",'Trade Log'!B11)</f>
        <v/>
      </c>
      <c r="C25" s="30" t="str">
        <f>IF('Trade Log'!B11="","",'Trade Log'!E11)</f>
        <v/>
      </c>
      <c r="D25" s="30" t="str">
        <f>IF('Trade Log'!B11="","",'Trade Log'!F11)</f>
        <v/>
      </c>
      <c r="E25" s="31" t="str">
        <f>IF('Trade Log'!B11="","",'Trade Log'!I11)</f>
        <v/>
      </c>
      <c r="F25" s="32" t="str">
        <f>IF('Trade Log'!B11="","",'Trade Log'!J11)</f>
        <v/>
      </c>
      <c r="G25" s="29" t="str">
        <f>IF('Trade Log'!B11="","",'Trade Log'!K11)</f>
        <v/>
      </c>
      <c r="H25" s="29" t="str">
        <f>IF('Trade Log'!B11="","",'Trade Log'!M11)</f>
        <v/>
      </c>
      <c r="I25" s="32" t="str">
        <f>IF('Trade Log'!B11="","",'Trade Log'!N11)</f>
        <v/>
      </c>
      <c r="J25" s="33" t="str">
        <f>IF('Trade Log'!B11="","",'Trade Log'!L11)</f>
        <v/>
      </c>
    </row>
    <row r="26" spans="1:10" ht="20.100000000000001" customHeight="1">
      <c r="A26" s="22" t="str">
        <f>IF('Trade Log'!B12="","",'Trade Log'!A12)</f>
        <v/>
      </c>
      <c r="B26" s="23" t="str">
        <f>IF('Trade Log'!B12="","",'Trade Log'!B12)</f>
        <v/>
      </c>
      <c r="C26" s="24" t="str">
        <f>IF('Trade Log'!B12="","",'Trade Log'!E12)</f>
        <v/>
      </c>
      <c r="D26" s="24" t="str">
        <f>IF('Trade Log'!B12="","",'Trade Log'!F12)</f>
        <v/>
      </c>
      <c r="E26" s="25" t="str">
        <f>IF('Trade Log'!B12="","",'Trade Log'!I12)</f>
        <v/>
      </c>
      <c r="F26" s="26" t="str">
        <f>IF('Trade Log'!B12="","",'Trade Log'!J12)</f>
        <v/>
      </c>
      <c r="G26" s="23" t="str">
        <f>IF('Trade Log'!B12="","",'Trade Log'!K12)</f>
        <v/>
      </c>
      <c r="H26" s="23" t="str">
        <f>IF('Trade Log'!B12="","",'Trade Log'!M12)</f>
        <v/>
      </c>
      <c r="I26" s="26" t="str">
        <f>IF('Trade Log'!B12="","",'Trade Log'!N12)</f>
        <v/>
      </c>
      <c r="J26" s="27" t="str">
        <f>IF('Trade Log'!B12="","",'Trade Log'!L12)</f>
        <v/>
      </c>
    </row>
    <row r="27" spans="1:10" ht="20.100000000000001" customHeight="1">
      <c r="A27" s="28" t="str">
        <f>IF('Trade Log'!B13="","",'Trade Log'!A13)</f>
        <v/>
      </c>
      <c r="B27" s="29" t="str">
        <f>IF('Trade Log'!B13="","",'Trade Log'!B13)</f>
        <v/>
      </c>
      <c r="C27" s="30" t="str">
        <f>IF('Trade Log'!B13="","",'Trade Log'!E13)</f>
        <v/>
      </c>
      <c r="D27" s="30" t="str">
        <f>IF('Trade Log'!B13="","",'Trade Log'!F13)</f>
        <v/>
      </c>
      <c r="E27" s="31" t="str">
        <f>IF('Trade Log'!B13="","",'Trade Log'!I13)</f>
        <v/>
      </c>
      <c r="F27" s="32" t="str">
        <f>IF('Trade Log'!B13="","",'Trade Log'!J13)</f>
        <v/>
      </c>
      <c r="G27" s="29" t="str">
        <f>IF('Trade Log'!B13="","",'Trade Log'!K13)</f>
        <v/>
      </c>
      <c r="H27" s="29" t="str">
        <f>IF('Trade Log'!B13="","",'Trade Log'!M13)</f>
        <v/>
      </c>
      <c r="I27" s="32" t="str">
        <f>IF('Trade Log'!B13="","",'Trade Log'!N13)</f>
        <v/>
      </c>
      <c r="J27" s="33" t="str">
        <f>IF('Trade Log'!B13="","",'Trade Log'!L13)</f>
        <v/>
      </c>
    </row>
    <row r="28" spans="1:10" ht="20.100000000000001" customHeight="1">
      <c r="A28" s="22" t="str">
        <f>IF('Trade Log'!B14="","",'Trade Log'!A14)</f>
        <v/>
      </c>
      <c r="B28" s="23" t="str">
        <f>IF('Trade Log'!B14="","",'Trade Log'!B14)</f>
        <v/>
      </c>
      <c r="C28" s="24" t="str">
        <f>IF('Trade Log'!B14="","",'Trade Log'!E14)</f>
        <v/>
      </c>
      <c r="D28" s="24" t="str">
        <f>IF('Trade Log'!B14="","",'Trade Log'!F14)</f>
        <v/>
      </c>
      <c r="E28" s="25" t="str">
        <f>IF('Trade Log'!B14="","",'Trade Log'!I14)</f>
        <v/>
      </c>
      <c r="F28" s="26" t="str">
        <f>IF('Trade Log'!B14="","",'Trade Log'!J14)</f>
        <v/>
      </c>
      <c r="G28" s="23" t="str">
        <f>IF('Trade Log'!B14="","",'Trade Log'!K14)</f>
        <v/>
      </c>
      <c r="H28" s="23" t="str">
        <f>IF('Trade Log'!B14="","",'Trade Log'!M14)</f>
        <v/>
      </c>
      <c r="I28" s="26" t="str">
        <f>IF('Trade Log'!B14="","",'Trade Log'!N14)</f>
        <v/>
      </c>
      <c r="J28" s="27" t="str">
        <f>IF('Trade Log'!B14="","",'Trade Log'!L14)</f>
        <v/>
      </c>
    </row>
    <row r="29" spans="1:10" ht="20.100000000000001" customHeight="1">
      <c r="A29" s="28" t="str">
        <f>IF('Trade Log'!B15="","",'Trade Log'!A15)</f>
        <v/>
      </c>
      <c r="B29" s="29" t="str">
        <f>IF('Trade Log'!B15="","",'Trade Log'!B15)</f>
        <v/>
      </c>
      <c r="C29" s="30" t="str">
        <f>IF('Trade Log'!B15="","",'Trade Log'!E15)</f>
        <v/>
      </c>
      <c r="D29" s="30" t="str">
        <f>IF('Trade Log'!B15="","",'Trade Log'!F15)</f>
        <v/>
      </c>
      <c r="E29" s="31" t="str">
        <f>IF('Trade Log'!B15="","",'Trade Log'!I15)</f>
        <v/>
      </c>
      <c r="F29" s="32" t="str">
        <f>IF('Trade Log'!B15="","",'Trade Log'!J15)</f>
        <v/>
      </c>
      <c r="G29" s="29" t="str">
        <f>IF('Trade Log'!B15="","",'Trade Log'!K15)</f>
        <v/>
      </c>
      <c r="H29" s="29" t="str">
        <f>IF('Trade Log'!B15="","",'Trade Log'!M15)</f>
        <v/>
      </c>
      <c r="I29" s="32" t="str">
        <f>IF('Trade Log'!B15="","",'Trade Log'!N15)</f>
        <v/>
      </c>
      <c r="J29" s="33" t="str">
        <f>IF('Trade Log'!B15="","",'Trade Log'!L15)</f>
        <v/>
      </c>
    </row>
    <row r="30" spans="1:10" ht="20.100000000000001" customHeight="1">
      <c r="A30" s="22" t="str">
        <f>IF('Trade Log'!B16="","",'Trade Log'!A16)</f>
        <v/>
      </c>
      <c r="B30" s="23" t="str">
        <f>IF('Trade Log'!B16="","",'Trade Log'!B16)</f>
        <v/>
      </c>
      <c r="C30" s="24" t="str">
        <f>IF('Trade Log'!B16="","",'Trade Log'!E16)</f>
        <v/>
      </c>
      <c r="D30" s="24" t="str">
        <f>IF('Trade Log'!B16="","",'Trade Log'!F16)</f>
        <v/>
      </c>
      <c r="E30" s="25" t="str">
        <f>IF('Trade Log'!B16="","",'Trade Log'!I16)</f>
        <v/>
      </c>
      <c r="F30" s="26" t="str">
        <f>IF('Trade Log'!B16="","",'Trade Log'!J16)</f>
        <v/>
      </c>
      <c r="G30" s="23" t="str">
        <f>IF('Trade Log'!B16="","",'Trade Log'!K16)</f>
        <v/>
      </c>
      <c r="H30" s="23" t="str">
        <f>IF('Trade Log'!B16="","",'Trade Log'!M16)</f>
        <v/>
      </c>
      <c r="I30" s="26" t="str">
        <f>IF('Trade Log'!B16="","",'Trade Log'!N16)</f>
        <v/>
      </c>
      <c r="J30" s="27" t="str">
        <f>IF('Trade Log'!B16="","",'Trade Log'!L16)</f>
        <v/>
      </c>
    </row>
    <row r="31" spans="1:10" ht="20.100000000000001" customHeight="1">
      <c r="A31" s="28" t="str">
        <f>IF('Trade Log'!B17="","",'Trade Log'!A17)</f>
        <v/>
      </c>
      <c r="B31" s="29" t="str">
        <f>IF('Trade Log'!B17="","",'Trade Log'!B17)</f>
        <v/>
      </c>
      <c r="C31" s="30" t="str">
        <f>IF('Trade Log'!B17="","",'Trade Log'!E17)</f>
        <v/>
      </c>
      <c r="D31" s="30" t="str">
        <f>IF('Trade Log'!B17="","",'Trade Log'!F17)</f>
        <v/>
      </c>
      <c r="E31" s="31" t="str">
        <f>IF('Trade Log'!B17="","",'Trade Log'!I17)</f>
        <v/>
      </c>
      <c r="F31" s="32" t="str">
        <f>IF('Trade Log'!B17="","",'Trade Log'!J17)</f>
        <v/>
      </c>
      <c r="G31" s="29" t="str">
        <f>IF('Trade Log'!B17="","",'Trade Log'!K17)</f>
        <v/>
      </c>
      <c r="H31" s="29" t="str">
        <f>IF('Trade Log'!B17="","",'Trade Log'!M17)</f>
        <v/>
      </c>
      <c r="I31" s="32" t="str">
        <f>IF('Trade Log'!B17="","",'Trade Log'!N17)</f>
        <v/>
      </c>
      <c r="J31" s="33" t="str">
        <f>IF('Trade Log'!B17="","",'Trade Log'!L17)</f>
        <v/>
      </c>
    </row>
    <row r="32" spans="1:10" ht="20.100000000000001" customHeight="1">
      <c r="A32" s="22" t="str">
        <f>IF('Trade Log'!B18="","",'Trade Log'!A18)</f>
        <v/>
      </c>
      <c r="B32" s="23" t="str">
        <f>IF('Trade Log'!B18="","",'Trade Log'!B18)</f>
        <v/>
      </c>
      <c r="C32" s="24" t="str">
        <f>IF('Trade Log'!B18="","",'Trade Log'!E18)</f>
        <v/>
      </c>
      <c r="D32" s="24" t="str">
        <f>IF('Trade Log'!B18="","",'Trade Log'!F18)</f>
        <v/>
      </c>
      <c r="E32" s="25" t="str">
        <f>IF('Trade Log'!B18="","",'Trade Log'!I18)</f>
        <v/>
      </c>
      <c r="F32" s="26" t="str">
        <f>IF('Trade Log'!B18="","",'Trade Log'!J18)</f>
        <v/>
      </c>
      <c r="G32" s="23" t="str">
        <f>IF('Trade Log'!B18="","",'Trade Log'!K18)</f>
        <v/>
      </c>
      <c r="H32" s="23" t="str">
        <f>IF('Trade Log'!B18="","",'Trade Log'!M18)</f>
        <v/>
      </c>
      <c r="I32" s="26" t="str">
        <f>IF('Trade Log'!B18="","",'Trade Log'!N18)</f>
        <v/>
      </c>
      <c r="J32" s="27" t="str">
        <f>IF('Trade Log'!B18="","",'Trade Log'!L18)</f>
        <v/>
      </c>
    </row>
    <row r="33" spans="1:10" ht="20.100000000000001" customHeight="1">
      <c r="A33" s="28" t="str">
        <f>IF('Trade Log'!B19="","",'Trade Log'!A19)</f>
        <v/>
      </c>
      <c r="B33" s="29" t="str">
        <f>IF('Trade Log'!B19="","",'Trade Log'!B19)</f>
        <v/>
      </c>
      <c r="C33" s="30" t="str">
        <f>IF('Trade Log'!B19="","",'Trade Log'!E19)</f>
        <v/>
      </c>
      <c r="D33" s="30" t="str">
        <f>IF('Trade Log'!B19="","",'Trade Log'!F19)</f>
        <v/>
      </c>
      <c r="E33" s="31" t="str">
        <f>IF('Trade Log'!B19="","",'Trade Log'!I19)</f>
        <v/>
      </c>
      <c r="F33" s="32" t="str">
        <f>IF('Trade Log'!B19="","",'Trade Log'!J19)</f>
        <v/>
      </c>
      <c r="G33" s="29" t="str">
        <f>IF('Trade Log'!B19="","",'Trade Log'!K19)</f>
        <v/>
      </c>
      <c r="H33" s="29" t="str">
        <f>IF('Trade Log'!B19="","",'Trade Log'!M19)</f>
        <v/>
      </c>
      <c r="I33" s="32" t="str">
        <f>IF('Trade Log'!B19="","",'Trade Log'!N19)</f>
        <v/>
      </c>
      <c r="J33" s="33" t="str">
        <f>IF('Trade Log'!B19="","",'Trade Log'!L19)</f>
        <v/>
      </c>
    </row>
    <row r="34" spans="1:10" ht="20.100000000000001" customHeight="1">
      <c r="A34" s="22" t="str">
        <f>IF('Trade Log'!B20="","",'Trade Log'!A20)</f>
        <v/>
      </c>
      <c r="B34" s="23" t="str">
        <f>IF('Trade Log'!B20="","",'Trade Log'!B20)</f>
        <v/>
      </c>
      <c r="C34" s="24" t="str">
        <f>IF('Trade Log'!B20="","",'Trade Log'!E20)</f>
        <v/>
      </c>
      <c r="D34" s="24" t="str">
        <f>IF('Trade Log'!B20="","",'Trade Log'!F20)</f>
        <v/>
      </c>
      <c r="E34" s="25" t="str">
        <f>IF('Trade Log'!B20="","",'Trade Log'!I20)</f>
        <v/>
      </c>
      <c r="F34" s="26" t="str">
        <f>IF('Trade Log'!B20="","",'Trade Log'!J20)</f>
        <v/>
      </c>
      <c r="G34" s="23" t="str">
        <f>IF('Trade Log'!B20="","",'Trade Log'!K20)</f>
        <v/>
      </c>
      <c r="H34" s="23" t="str">
        <f>IF('Trade Log'!B20="","",'Trade Log'!M20)</f>
        <v/>
      </c>
      <c r="I34" s="26" t="str">
        <f>IF('Trade Log'!B20="","",'Trade Log'!N20)</f>
        <v/>
      </c>
      <c r="J34" s="27" t="str">
        <f>IF('Trade Log'!B20="","",'Trade Log'!L20)</f>
        <v/>
      </c>
    </row>
    <row r="35" spans="1:10" ht="20.100000000000001" customHeight="1">
      <c r="A35" s="28" t="str">
        <f>IF('Trade Log'!B21="","",'Trade Log'!A21)</f>
        <v/>
      </c>
      <c r="B35" s="29" t="str">
        <f>IF('Trade Log'!B21="","",'Trade Log'!B21)</f>
        <v/>
      </c>
      <c r="C35" s="30" t="str">
        <f>IF('Trade Log'!B21="","",'Trade Log'!E21)</f>
        <v/>
      </c>
      <c r="D35" s="30" t="str">
        <f>IF('Trade Log'!B21="","",'Trade Log'!F21)</f>
        <v/>
      </c>
      <c r="E35" s="31" t="str">
        <f>IF('Trade Log'!B21="","",'Trade Log'!I21)</f>
        <v/>
      </c>
      <c r="F35" s="32" t="str">
        <f>IF('Trade Log'!B21="","",'Trade Log'!J21)</f>
        <v/>
      </c>
      <c r="G35" s="29" t="str">
        <f>IF('Trade Log'!B21="","",'Trade Log'!K21)</f>
        <v/>
      </c>
      <c r="H35" s="29" t="str">
        <f>IF('Trade Log'!B21="","",'Trade Log'!M21)</f>
        <v/>
      </c>
      <c r="I35" s="32" t="str">
        <f>IF('Trade Log'!B21="","",'Trade Log'!N21)</f>
        <v/>
      </c>
      <c r="J35" s="33" t="str">
        <f>IF('Trade Log'!B21="","",'Trade Log'!L21)</f>
        <v/>
      </c>
    </row>
    <row r="36" spans="1:10" ht="20.100000000000001" customHeight="1">
      <c r="A36" s="22" t="str">
        <f>IF('Trade Log'!B22="","",'Trade Log'!A22)</f>
        <v/>
      </c>
      <c r="B36" s="23" t="str">
        <f>IF('Trade Log'!B22="","",'Trade Log'!B22)</f>
        <v/>
      </c>
      <c r="C36" s="24" t="str">
        <f>IF('Trade Log'!B22="","",'Trade Log'!E22)</f>
        <v/>
      </c>
      <c r="D36" s="24" t="str">
        <f>IF('Trade Log'!B22="","",'Trade Log'!F22)</f>
        <v/>
      </c>
      <c r="E36" s="25" t="str">
        <f>IF('Trade Log'!B22="","",'Trade Log'!I22)</f>
        <v/>
      </c>
      <c r="F36" s="26" t="str">
        <f>IF('Trade Log'!B22="","",'Trade Log'!J22)</f>
        <v/>
      </c>
      <c r="G36" s="23" t="str">
        <f>IF('Trade Log'!B22="","",'Trade Log'!K22)</f>
        <v/>
      </c>
      <c r="H36" s="23" t="str">
        <f>IF('Trade Log'!B22="","",'Trade Log'!M22)</f>
        <v/>
      </c>
      <c r="I36" s="26" t="str">
        <f>IF('Trade Log'!B22="","",'Trade Log'!N22)</f>
        <v/>
      </c>
      <c r="J36" s="27" t="str">
        <f>IF('Trade Log'!B22="","",'Trade Log'!L22)</f>
        <v/>
      </c>
    </row>
    <row r="37" spans="1:10" ht="20.100000000000001" customHeight="1">
      <c r="A37" s="28" t="str">
        <f>IF('Trade Log'!B23="","",'Trade Log'!A23)</f>
        <v/>
      </c>
      <c r="B37" s="29" t="str">
        <f>IF('Trade Log'!B23="","",'Trade Log'!B23)</f>
        <v/>
      </c>
      <c r="C37" s="30" t="str">
        <f>IF('Trade Log'!B23="","",'Trade Log'!E23)</f>
        <v/>
      </c>
      <c r="D37" s="30" t="str">
        <f>IF('Trade Log'!B23="","",'Trade Log'!F23)</f>
        <v/>
      </c>
      <c r="E37" s="31" t="str">
        <f>IF('Trade Log'!B23="","",'Trade Log'!I23)</f>
        <v/>
      </c>
      <c r="F37" s="32" t="str">
        <f>IF('Trade Log'!B23="","",'Trade Log'!J23)</f>
        <v/>
      </c>
      <c r="G37" s="29" t="str">
        <f>IF('Trade Log'!B23="","",'Trade Log'!K23)</f>
        <v/>
      </c>
      <c r="H37" s="29" t="str">
        <f>IF('Trade Log'!B23="","",'Trade Log'!M23)</f>
        <v/>
      </c>
      <c r="I37" s="32" t="str">
        <f>IF('Trade Log'!B23="","",'Trade Log'!N23)</f>
        <v/>
      </c>
      <c r="J37" s="33" t="str">
        <f>IF('Trade Log'!B23="","",'Trade Log'!L23)</f>
        <v/>
      </c>
    </row>
    <row r="38" spans="1:10" ht="20.100000000000001" customHeight="1">
      <c r="A38" s="22" t="str">
        <f>IF('Trade Log'!B24="","",'Trade Log'!A24)</f>
        <v/>
      </c>
      <c r="B38" s="23" t="str">
        <f>IF('Trade Log'!B24="","",'Trade Log'!B24)</f>
        <v/>
      </c>
      <c r="C38" s="24" t="str">
        <f>IF('Trade Log'!B24="","",'Trade Log'!E24)</f>
        <v/>
      </c>
      <c r="D38" s="24" t="str">
        <f>IF('Trade Log'!B24="","",'Trade Log'!F24)</f>
        <v/>
      </c>
      <c r="E38" s="25" t="str">
        <f>IF('Trade Log'!B24="","",'Trade Log'!I24)</f>
        <v/>
      </c>
      <c r="F38" s="26" t="str">
        <f>IF('Trade Log'!B24="","",'Trade Log'!J24)</f>
        <v/>
      </c>
      <c r="G38" s="23" t="str">
        <f>IF('Trade Log'!B24="","",'Trade Log'!K24)</f>
        <v/>
      </c>
      <c r="H38" s="23" t="str">
        <f>IF('Trade Log'!B24="","",'Trade Log'!M24)</f>
        <v/>
      </c>
      <c r="I38" s="26" t="str">
        <f>IF('Trade Log'!B24="","",'Trade Log'!N24)</f>
        <v/>
      </c>
      <c r="J38" s="27" t="str">
        <f>IF('Trade Log'!B24="","",'Trade Log'!L24)</f>
        <v/>
      </c>
    </row>
    <row r="39" spans="1:10" ht="20.100000000000001" customHeight="1">
      <c r="A39" s="28" t="str">
        <f>IF('Trade Log'!B25="","",'Trade Log'!A25)</f>
        <v/>
      </c>
      <c r="B39" s="29" t="str">
        <f>IF('Trade Log'!B25="","",'Trade Log'!B25)</f>
        <v/>
      </c>
      <c r="C39" s="30" t="str">
        <f>IF('Trade Log'!B25="","",'Trade Log'!E25)</f>
        <v/>
      </c>
      <c r="D39" s="30" t="str">
        <f>IF('Trade Log'!B25="","",'Trade Log'!F25)</f>
        <v/>
      </c>
      <c r="E39" s="31" t="str">
        <f>IF('Trade Log'!B25="","",'Trade Log'!I25)</f>
        <v/>
      </c>
      <c r="F39" s="32" t="str">
        <f>IF('Trade Log'!B25="","",'Trade Log'!J25)</f>
        <v/>
      </c>
      <c r="G39" s="29" t="str">
        <f>IF('Trade Log'!B25="","",'Trade Log'!K25)</f>
        <v/>
      </c>
      <c r="H39" s="29" t="str">
        <f>IF('Trade Log'!B25="","",'Trade Log'!M25)</f>
        <v/>
      </c>
      <c r="I39" s="32" t="str">
        <f>IF('Trade Log'!B25="","",'Trade Log'!N25)</f>
        <v/>
      </c>
      <c r="J39" s="33" t="str">
        <f>IF('Trade Log'!B25="","",'Trade Log'!L25)</f>
        <v/>
      </c>
    </row>
    <row r="40" spans="1:10" ht="20.100000000000001" customHeight="1">
      <c r="A40" s="22" t="str">
        <f>IF('Trade Log'!B26="","",'Trade Log'!A26)</f>
        <v/>
      </c>
      <c r="B40" s="23" t="str">
        <f>IF('Trade Log'!B26="","",'Trade Log'!B26)</f>
        <v/>
      </c>
      <c r="C40" s="24" t="str">
        <f>IF('Trade Log'!B26="","",'Trade Log'!E26)</f>
        <v/>
      </c>
      <c r="D40" s="24" t="str">
        <f>IF('Trade Log'!B26="","",'Trade Log'!F26)</f>
        <v/>
      </c>
      <c r="E40" s="25" t="str">
        <f>IF('Trade Log'!B26="","",'Trade Log'!I26)</f>
        <v/>
      </c>
      <c r="F40" s="26" t="str">
        <f>IF('Trade Log'!B26="","",'Trade Log'!J26)</f>
        <v/>
      </c>
      <c r="G40" s="23" t="str">
        <f>IF('Trade Log'!B26="","",'Trade Log'!K26)</f>
        <v/>
      </c>
      <c r="H40" s="23" t="str">
        <f>IF('Trade Log'!B26="","",'Trade Log'!M26)</f>
        <v/>
      </c>
      <c r="I40" s="26" t="str">
        <f>IF('Trade Log'!B26="","",'Trade Log'!N26)</f>
        <v/>
      </c>
      <c r="J40" s="27" t="str">
        <f>IF('Trade Log'!B26="","",'Trade Log'!L26)</f>
        <v/>
      </c>
    </row>
    <row r="41" spans="1:10" ht="20.100000000000001" customHeight="1">
      <c r="A41" s="28" t="str">
        <f>IF('Trade Log'!B27="","",'Trade Log'!A27)</f>
        <v/>
      </c>
      <c r="B41" s="29" t="str">
        <f>IF('Trade Log'!B27="","",'Trade Log'!B27)</f>
        <v/>
      </c>
      <c r="C41" s="30" t="str">
        <f>IF('Trade Log'!B27="","",'Trade Log'!E27)</f>
        <v/>
      </c>
      <c r="D41" s="30" t="str">
        <f>IF('Trade Log'!B27="","",'Trade Log'!F27)</f>
        <v/>
      </c>
      <c r="E41" s="31" t="str">
        <f>IF('Trade Log'!B27="","",'Trade Log'!I27)</f>
        <v/>
      </c>
      <c r="F41" s="32" t="str">
        <f>IF('Trade Log'!B27="","",'Trade Log'!J27)</f>
        <v/>
      </c>
      <c r="G41" s="29" t="str">
        <f>IF('Trade Log'!B27="","",'Trade Log'!K27)</f>
        <v/>
      </c>
      <c r="H41" s="29" t="str">
        <f>IF('Trade Log'!B27="","",'Trade Log'!M27)</f>
        <v/>
      </c>
      <c r="I41" s="32" t="str">
        <f>IF('Trade Log'!B27="","",'Trade Log'!N27)</f>
        <v/>
      </c>
      <c r="J41" s="33" t="str">
        <f>IF('Trade Log'!B27="","",'Trade Log'!L27)</f>
        <v/>
      </c>
    </row>
    <row r="42" spans="1:10" ht="20.100000000000001" customHeight="1">
      <c r="A42" s="22" t="str">
        <f>IF('Trade Log'!B28="","",'Trade Log'!A28)</f>
        <v/>
      </c>
      <c r="B42" s="23" t="str">
        <f>IF('Trade Log'!B28="","",'Trade Log'!B28)</f>
        <v/>
      </c>
      <c r="C42" s="24" t="str">
        <f>IF('Trade Log'!B28="","",'Trade Log'!E28)</f>
        <v/>
      </c>
      <c r="D42" s="24" t="str">
        <f>IF('Trade Log'!B28="","",'Trade Log'!F28)</f>
        <v/>
      </c>
      <c r="E42" s="25" t="str">
        <f>IF('Trade Log'!B28="","",'Trade Log'!I28)</f>
        <v/>
      </c>
      <c r="F42" s="26" t="str">
        <f>IF('Trade Log'!B28="","",'Trade Log'!J28)</f>
        <v/>
      </c>
      <c r="G42" s="23" t="str">
        <f>IF('Trade Log'!B28="","",'Trade Log'!K28)</f>
        <v/>
      </c>
      <c r="H42" s="23" t="str">
        <f>IF('Trade Log'!B28="","",'Trade Log'!M28)</f>
        <v/>
      </c>
      <c r="I42" s="26" t="str">
        <f>IF('Trade Log'!B28="","",'Trade Log'!N28)</f>
        <v/>
      </c>
      <c r="J42" s="27" t="str">
        <f>IF('Trade Log'!B28="","",'Trade Log'!L28)</f>
        <v/>
      </c>
    </row>
    <row r="43" spans="1:10" ht="20.100000000000001" customHeight="1">
      <c r="A43" s="28" t="str">
        <f>IF('Trade Log'!B29="","",'Trade Log'!A29)</f>
        <v/>
      </c>
      <c r="B43" s="29" t="str">
        <f>IF('Trade Log'!B29="","",'Trade Log'!B29)</f>
        <v/>
      </c>
      <c r="C43" s="30" t="str">
        <f>IF('Trade Log'!B29="","",'Trade Log'!E29)</f>
        <v/>
      </c>
      <c r="D43" s="30" t="str">
        <f>IF('Trade Log'!B29="","",'Trade Log'!F29)</f>
        <v/>
      </c>
      <c r="E43" s="31" t="str">
        <f>IF('Trade Log'!B29="","",'Trade Log'!I29)</f>
        <v/>
      </c>
      <c r="F43" s="32" t="str">
        <f>IF('Trade Log'!B29="","",'Trade Log'!J29)</f>
        <v/>
      </c>
      <c r="G43" s="29" t="str">
        <f>IF('Trade Log'!B29="","",'Trade Log'!K29)</f>
        <v/>
      </c>
      <c r="H43" s="29" t="str">
        <f>IF('Trade Log'!B29="","",'Trade Log'!M29)</f>
        <v/>
      </c>
      <c r="I43" s="32" t="str">
        <f>IF('Trade Log'!B29="","",'Trade Log'!N29)</f>
        <v/>
      </c>
      <c r="J43" s="33" t="str">
        <f>IF('Trade Log'!B29="","",'Trade Log'!L29)</f>
        <v/>
      </c>
    </row>
    <row r="44" spans="1:10" ht="20.100000000000001" customHeight="1">
      <c r="A44" s="22" t="str">
        <f>IF('Trade Log'!B30="","",'Trade Log'!A30)</f>
        <v/>
      </c>
      <c r="B44" s="23" t="str">
        <f>IF('Trade Log'!B30="","",'Trade Log'!B30)</f>
        <v/>
      </c>
      <c r="C44" s="24" t="str">
        <f>IF('Trade Log'!B30="","",'Trade Log'!E30)</f>
        <v/>
      </c>
      <c r="D44" s="24" t="str">
        <f>IF('Trade Log'!B30="","",'Trade Log'!F30)</f>
        <v/>
      </c>
      <c r="E44" s="25" t="str">
        <f>IF('Trade Log'!B30="","",'Trade Log'!I30)</f>
        <v/>
      </c>
      <c r="F44" s="26" t="str">
        <f>IF('Trade Log'!B30="","",'Trade Log'!J30)</f>
        <v/>
      </c>
      <c r="G44" s="23" t="str">
        <f>IF('Trade Log'!B30="","",'Trade Log'!K30)</f>
        <v/>
      </c>
      <c r="H44" s="23" t="str">
        <f>IF('Trade Log'!B30="","",'Trade Log'!M30)</f>
        <v/>
      </c>
      <c r="I44" s="26" t="str">
        <f>IF('Trade Log'!B30="","",'Trade Log'!N30)</f>
        <v/>
      </c>
      <c r="J44" s="27" t="str">
        <f>IF('Trade Log'!B30="","",'Trade Log'!L30)</f>
        <v/>
      </c>
    </row>
    <row r="45" spans="1:10" ht="20.100000000000001" customHeight="1">
      <c r="A45" s="28" t="str">
        <f>IF('Trade Log'!B31="","",'Trade Log'!A31)</f>
        <v/>
      </c>
      <c r="B45" s="29" t="str">
        <f>IF('Trade Log'!B31="","",'Trade Log'!B31)</f>
        <v/>
      </c>
      <c r="C45" s="30" t="str">
        <f>IF('Trade Log'!B31="","",'Trade Log'!E31)</f>
        <v/>
      </c>
      <c r="D45" s="30" t="str">
        <f>IF('Trade Log'!B31="","",'Trade Log'!F31)</f>
        <v/>
      </c>
      <c r="E45" s="31" t="str">
        <f>IF('Trade Log'!B31="","",'Trade Log'!I31)</f>
        <v/>
      </c>
      <c r="F45" s="32" t="str">
        <f>IF('Trade Log'!B31="","",'Trade Log'!J31)</f>
        <v/>
      </c>
      <c r="G45" s="29" t="str">
        <f>IF('Trade Log'!B31="","",'Trade Log'!K31)</f>
        <v/>
      </c>
      <c r="H45" s="29" t="str">
        <f>IF('Trade Log'!B31="","",'Trade Log'!M31)</f>
        <v/>
      </c>
      <c r="I45" s="32" t="str">
        <f>IF('Trade Log'!B31="","",'Trade Log'!N31)</f>
        <v/>
      </c>
      <c r="J45" s="33" t="str">
        <f>IF('Trade Log'!B31="","",'Trade Log'!L31)</f>
        <v/>
      </c>
    </row>
    <row r="46" spans="1:10" ht="20.100000000000001" customHeight="1">
      <c r="A46" s="22" t="str">
        <f>IF('Trade Log'!B32="","",'Trade Log'!A32)</f>
        <v/>
      </c>
      <c r="B46" s="23" t="str">
        <f>IF('Trade Log'!B32="","",'Trade Log'!B32)</f>
        <v/>
      </c>
      <c r="C46" s="24" t="str">
        <f>IF('Trade Log'!B32="","",'Trade Log'!E32)</f>
        <v/>
      </c>
      <c r="D46" s="24" t="str">
        <f>IF('Trade Log'!B32="","",'Trade Log'!F32)</f>
        <v/>
      </c>
      <c r="E46" s="25" t="str">
        <f>IF('Trade Log'!B32="","",'Trade Log'!I32)</f>
        <v/>
      </c>
      <c r="F46" s="26" t="str">
        <f>IF('Trade Log'!B32="","",'Trade Log'!J32)</f>
        <v/>
      </c>
      <c r="G46" s="23" t="str">
        <f>IF('Trade Log'!B32="","",'Trade Log'!K32)</f>
        <v/>
      </c>
      <c r="H46" s="23" t="str">
        <f>IF('Trade Log'!B32="","",'Trade Log'!M32)</f>
        <v/>
      </c>
      <c r="I46" s="26" t="str">
        <f>IF('Trade Log'!B32="","",'Trade Log'!N32)</f>
        <v/>
      </c>
      <c r="J46" s="27" t="str">
        <f>IF('Trade Log'!B32="","",'Trade Log'!L32)</f>
        <v/>
      </c>
    </row>
    <row r="47" spans="1:10" ht="20.100000000000001" customHeight="1">
      <c r="A47" s="28" t="str">
        <f>IF('Trade Log'!B33="","",'Trade Log'!A33)</f>
        <v/>
      </c>
      <c r="B47" s="29" t="str">
        <f>IF('Trade Log'!B33="","",'Trade Log'!B33)</f>
        <v/>
      </c>
      <c r="C47" s="30" t="str">
        <f>IF('Trade Log'!B33="","",'Trade Log'!E33)</f>
        <v/>
      </c>
      <c r="D47" s="30" t="str">
        <f>IF('Trade Log'!B33="","",'Trade Log'!F33)</f>
        <v/>
      </c>
      <c r="E47" s="31" t="str">
        <f>IF('Trade Log'!B33="","",'Trade Log'!I33)</f>
        <v/>
      </c>
      <c r="F47" s="32" t="str">
        <f>IF('Trade Log'!B33="","",'Trade Log'!J33)</f>
        <v/>
      </c>
      <c r="G47" s="29" t="str">
        <f>IF('Trade Log'!B33="","",'Trade Log'!K33)</f>
        <v/>
      </c>
      <c r="H47" s="29" t="str">
        <f>IF('Trade Log'!B33="","",'Trade Log'!M33)</f>
        <v/>
      </c>
      <c r="I47" s="32" t="str">
        <f>IF('Trade Log'!B33="","",'Trade Log'!N33)</f>
        <v/>
      </c>
      <c r="J47" s="33" t="str">
        <f>IF('Trade Log'!B33="","",'Trade Log'!L33)</f>
        <v/>
      </c>
    </row>
    <row r="48" spans="1:10" ht="20.100000000000001" customHeight="1">
      <c r="A48" s="22" t="str">
        <f>IF('Trade Log'!B34="","",'Trade Log'!A34)</f>
        <v/>
      </c>
      <c r="B48" s="23" t="str">
        <f>IF('Trade Log'!B34="","",'Trade Log'!B34)</f>
        <v/>
      </c>
      <c r="C48" s="24" t="str">
        <f>IF('Trade Log'!B34="","",'Trade Log'!E34)</f>
        <v/>
      </c>
      <c r="D48" s="24" t="str">
        <f>IF('Trade Log'!B34="","",'Trade Log'!F34)</f>
        <v/>
      </c>
      <c r="E48" s="25" t="str">
        <f>IF('Trade Log'!B34="","",'Trade Log'!I34)</f>
        <v/>
      </c>
      <c r="F48" s="26" t="str">
        <f>IF('Trade Log'!B34="","",'Trade Log'!J34)</f>
        <v/>
      </c>
      <c r="G48" s="23" t="str">
        <f>IF('Trade Log'!B34="","",'Trade Log'!K34)</f>
        <v/>
      </c>
      <c r="H48" s="23" t="str">
        <f>IF('Trade Log'!B34="","",'Trade Log'!M34)</f>
        <v/>
      </c>
      <c r="I48" s="26" t="str">
        <f>IF('Trade Log'!B34="","",'Trade Log'!N34)</f>
        <v/>
      </c>
      <c r="J48" s="27" t="str">
        <f>IF('Trade Log'!B34="","",'Trade Log'!L34)</f>
        <v/>
      </c>
    </row>
    <row r="49" spans="1:10" ht="20.100000000000001" customHeight="1">
      <c r="A49" s="28" t="str">
        <f>IF('Trade Log'!B35="","",'Trade Log'!A35)</f>
        <v/>
      </c>
      <c r="B49" s="29" t="str">
        <f>IF('Trade Log'!B35="","",'Trade Log'!B35)</f>
        <v/>
      </c>
      <c r="C49" s="30" t="str">
        <f>IF('Trade Log'!B35="","",'Trade Log'!E35)</f>
        <v/>
      </c>
      <c r="D49" s="30" t="str">
        <f>IF('Trade Log'!B35="","",'Trade Log'!F35)</f>
        <v/>
      </c>
      <c r="E49" s="31" t="str">
        <f>IF('Trade Log'!B35="","",'Trade Log'!I35)</f>
        <v/>
      </c>
      <c r="F49" s="32" t="str">
        <f>IF('Trade Log'!B35="","",'Trade Log'!J35)</f>
        <v/>
      </c>
      <c r="G49" s="29" t="str">
        <f>IF('Trade Log'!B35="","",'Trade Log'!K35)</f>
        <v/>
      </c>
      <c r="H49" s="29" t="str">
        <f>IF('Trade Log'!B35="","",'Trade Log'!M35)</f>
        <v/>
      </c>
      <c r="I49" s="32" t="str">
        <f>IF('Trade Log'!B35="","",'Trade Log'!N35)</f>
        <v/>
      </c>
      <c r="J49" s="33" t="str">
        <f>IF('Trade Log'!B35="","",'Trade Log'!L35)</f>
        <v/>
      </c>
    </row>
    <row r="50" spans="1:10" ht="20.100000000000001" customHeight="1">
      <c r="A50" s="22" t="str">
        <f>IF('Trade Log'!B36="","",'Trade Log'!A36)</f>
        <v/>
      </c>
      <c r="B50" s="23" t="str">
        <f>IF('Trade Log'!B36="","",'Trade Log'!B36)</f>
        <v/>
      </c>
      <c r="C50" s="24" t="str">
        <f>IF('Trade Log'!B36="","",'Trade Log'!E36)</f>
        <v/>
      </c>
      <c r="D50" s="24" t="str">
        <f>IF('Trade Log'!B36="","",'Trade Log'!F36)</f>
        <v/>
      </c>
      <c r="E50" s="25" t="str">
        <f>IF('Trade Log'!B36="","",'Trade Log'!I36)</f>
        <v/>
      </c>
      <c r="F50" s="26" t="str">
        <f>IF('Trade Log'!B36="","",'Trade Log'!J36)</f>
        <v/>
      </c>
      <c r="G50" s="23" t="str">
        <f>IF('Trade Log'!B36="","",'Trade Log'!K36)</f>
        <v/>
      </c>
      <c r="H50" s="23" t="str">
        <f>IF('Trade Log'!B36="","",'Trade Log'!M36)</f>
        <v/>
      </c>
      <c r="I50" s="26" t="str">
        <f>IF('Trade Log'!B36="","",'Trade Log'!N36)</f>
        <v/>
      </c>
      <c r="J50" s="27" t="str">
        <f>IF('Trade Log'!B36="","",'Trade Log'!L36)</f>
        <v/>
      </c>
    </row>
    <row r="51" spans="1:10" ht="20.100000000000001" customHeight="1">
      <c r="A51" s="28" t="str">
        <f>IF('Trade Log'!B37="","",'Trade Log'!A37)</f>
        <v/>
      </c>
      <c r="B51" s="29" t="str">
        <f>IF('Trade Log'!B37="","",'Trade Log'!B37)</f>
        <v/>
      </c>
      <c r="C51" s="30" t="str">
        <f>IF('Trade Log'!B37="","",'Trade Log'!E37)</f>
        <v/>
      </c>
      <c r="D51" s="30" t="str">
        <f>IF('Trade Log'!B37="","",'Trade Log'!F37)</f>
        <v/>
      </c>
      <c r="E51" s="31" t="str">
        <f>IF('Trade Log'!B37="","",'Trade Log'!I37)</f>
        <v/>
      </c>
      <c r="F51" s="32" t="str">
        <f>IF('Trade Log'!B37="","",'Trade Log'!J37)</f>
        <v/>
      </c>
      <c r="G51" s="29" t="str">
        <f>IF('Trade Log'!B37="","",'Trade Log'!K37)</f>
        <v/>
      </c>
      <c r="H51" s="29" t="str">
        <f>IF('Trade Log'!B37="","",'Trade Log'!M37)</f>
        <v/>
      </c>
      <c r="I51" s="32" t="str">
        <f>IF('Trade Log'!B37="","",'Trade Log'!N37)</f>
        <v/>
      </c>
      <c r="J51" s="33" t="str">
        <f>IF('Trade Log'!B37="","",'Trade Log'!L37)</f>
        <v/>
      </c>
    </row>
    <row r="52" spans="1:10" ht="20.100000000000001" customHeight="1">
      <c r="A52" s="22" t="str">
        <f>IF('Trade Log'!B38="","",'Trade Log'!A38)</f>
        <v/>
      </c>
      <c r="B52" s="23" t="str">
        <f>IF('Trade Log'!B38="","",'Trade Log'!B38)</f>
        <v/>
      </c>
      <c r="C52" s="24" t="str">
        <f>IF('Trade Log'!B38="","",'Trade Log'!E38)</f>
        <v/>
      </c>
      <c r="D52" s="24" t="str">
        <f>IF('Trade Log'!B38="","",'Trade Log'!F38)</f>
        <v/>
      </c>
      <c r="E52" s="25" t="str">
        <f>IF('Trade Log'!B38="","",'Trade Log'!I38)</f>
        <v/>
      </c>
      <c r="F52" s="26" t="str">
        <f>IF('Trade Log'!B38="","",'Trade Log'!J38)</f>
        <v/>
      </c>
      <c r="G52" s="23" t="str">
        <f>IF('Trade Log'!B38="","",'Trade Log'!K38)</f>
        <v/>
      </c>
      <c r="H52" s="23" t="str">
        <f>IF('Trade Log'!B38="","",'Trade Log'!M38)</f>
        <v/>
      </c>
      <c r="I52" s="26" t="str">
        <f>IF('Trade Log'!B38="","",'Trade Log'!N38)</f>
        <v/>
      </c>
      <c r="J52" s="27" t="str">
        <f>IF('Trade Log'!B38="","",'Trade Log'!L38)</f>
        <v/>
      </c>
    </row>
    <row r="53" spans="1:10" ht="20.100000000000001" customHeight="1">
      <c r="A53" s="28" t="str">
        <f>IF('Trade Log'!B39="","",'Trade Log'!A39)</f>
        <v/>
      </c>
      <c r="B53" s="29" t="str">
        <f>IF('Trade Log'!B39="","",'Trade Log'!B39)</f>
        <v/>
      </c>
      <c r="C53" s="30" t="str">
        <f>IF('Trade Log'!B39="","",'Trade Log'!E39)</f>
        <v/>
      </c>
      <c r="D53" s="30" t="str">
        <f>IF('Trade Log'!B39="","",'Trade Log'!F39)</f>
        <v/>
      </c>
      <c r="E53" s="31" t="str">
        <f>IF('Trade Log'!B39="","",'Trade Log'!I39)</f>
        <v/>
      </c>
      <c r="F53" s="32" t="str">
        <f>IF('Trade Log'!B39="","",'Trade Log'!J39)</f>
        <v/>
      </c>
      <c r="G53" s="29" t="str">
        <f>IF('Trade Log'!B39="","",'Trade Log'!K39)</f>
        <v/>
      </c>
      <c r="H53" s="29" t="str">
        <f>IF('Trade Log'!B39="","",'Trade Log'!M39)</f>
        <v/>
      </c>
      <c r="I53" s="32" t="str">
        <f>IF('Trade Log'!B39="","",'Trade Log'!N39)</f>
        <v/>
      </c>
      <c r="J53" s="33" t="str">
        <f>IF('Trade Log'!B39="","",'Trade Log'!L39)</f>
        <v/>
      </c>
    </row>
    <row r="54" spans="1:10" ht="20.100000000000001" customHeight="1">
      <c r="A54" s="22" t="str">
        <f>IF('Trade Log'!B40="","",'Trade Log'!A40)</f>
        <v/>
      </c>
      <c r="B54" s="23" t="str">
        <f>IF('Trade Log'!B40="","",'Trade Log'!B40)</f>
        <v/>
      </c>
      <c r="C54" s="24" t="str">
        <f>IF('Trade Log'!B40="","",'Trade Log'!E40)</f>
        <v/>
      </c>
      <c r="D54" s="24" t="str">
        <f>IF('Trade Log'!B40="","",'Trade Log'!F40)</f>
        <v/>
      </c>
      <c r="E54" s="25" t="str">
        <f>IF('Trade Log'!B40="","",'Trade Log'!I40)</f>
        <v/>
      </c>
      <c r="F54" s="26" t="str">
        <f>IF('Trade Log'!B40="","",'Trade Log'!J40)</f>
        <v/>
      </c>
      <c r="G54" s="23" t="str">
        <f>IF('Trade Log'!B40="","",'Trade Log'!K40)</f>
        <v/>
      </c>
      <c r="H54" s="23" t="str">
        <f>IF('Trade Log'!B40="","",'Trade Log'!M40)</f>
        <v/>
      </c>
      <c r="I54" s="26" t="str">
        <f>IF('Trade Log'!B40="","",'Trade Log'!N40)</f>
        <v/>
      </c>
      <c r="J54" s="27" t="str">
        <f>IF('Trade Log'!B40="","",'Trade Log'!L40)</f>
        <v/>
      </c>
    </row>
    <row r="55" spans="1:10" ht="20.100000000000001" customHeight="1">
      <c r="A55" s="28" t="str">
        <f>IF('Trade Log'!B41="","",'Trade Log'!A41)</f>
        <v/>
      </c>
      <c r="B55" s="29" t="str">
        <f>IF('Trade Log'!B41="","",'Trade Log'!B41)</f>
        <v/>
      </c>
      <c r="C55" s="30" t="str">
        <f>IF('Trade Log'!B41="","",'Trade Log'!E41)</f>
        <v/>
      </c>
      <c r="D55" s="30" t="str">
        <f>IF('Trade Log'!B41="","",'Trade Log'!F41)</f>
        <v/>
      </c>
      <c r="E55" s="31" t="str">
        <f>IF('Trade Log'!B41="","",'Trade Log'!I41)</f>
        <v/>
      </c>
      <c r="F55" s="32" t="str">
        <f>IF('Trade Log'!B41="","",'Trade Log'!J41)</f>
        <v/>
      </c>
      <c r="G55" s="29" t="str">
        <f>IF('Trade Log'!B41="","",'Trade Log'!K41)</f>
        <v/>
      </c>
      <c r="H55" s="29" t="str">
        <f>IF('Trade Log'!B41="","",'Trade Log'!M41)</f>
        <v/>
      </c>
      <c r="I55" s="32" t="str">
        <f>IF('Trade Log'!B41="","",'Trade Log'!N41)</f>
        <v/>
      </c>
      <c r="J55" s="33" t="str">
        <f>IF('Trade Log'!B41="","",'Trade Log'!L41)</f>
        <v/>
      </c>
    </row>
    <row r="56" spans="1:10" ht="20.100000000000001" customHeight="1">
      <c r="A56" s="22" t="str">
        <f>IF('Trade Log'!B42="","",'Trade Log'!A42)</f>
        <v/>
      </c>
      <c r="B56" s="23" t="str">
        <f>IF('Trade Log'!B42="","",'Trade Log'!B42)</f>
        <v/>
      </c>
      <c r="C56" s="24" t="str">
        <f>IF('Trade Log'!B42="","",'Trade Log'!E42)</f>
        <v/>
      </c>
      <c r="D56" s="24" t="str">
        <f>IF('Trade Log'!B42="","",'Trade Log'!F42)</f>
        <v/>
      </c>
      <c r="E56" s="25" t="str">
        <f>IF('Trade Log'!B42="","",'Trade Log'!I42)</f>
        <v/>
      </c>
      <c r="F56" s="26" t="str">
        <f>IF('Trade Log'!B42="","",'Trade Log'!J42)</f>
        <v/>
      </c>
      <c r="G56" s="23" t="str">
        <f>IF('Trade Log'!B42="","",'Trade Log'!K42)</f>
        <v/>
      </c>
      <c r="H56" s="23" t="str">
        <f>IF('Trade Log'!B42="","",'Trade Log'!M42)</f>
        <v/>
      </c>
      <c r="I56" s="26" t="str">
        <f>IF('Trade Log'!B42="","",'Trade Log'!N42)</f>
        <v/>
      </c>
      <c r="J56" s="27" t="str">
        <f>IF('Trade Log'!B42="","",'Trade Log'!L42)</f>
        <v/>
      </c>
    </row>
    <row r="57" spans="1:10" ht="20.100000000000001" customHeight="1">
      <c r="A57" s="28" t="str">
        <f>IF('Trade Log'!B43="","",'Trade Log'!A43)</f>
        <v/>
      </c>
      <c r="B57" s="29" t="str">
        <f>IF('Trade Log'!B43="","",'Trade Log'!B43)</f>
        <v/>
      </c>
      <c r="C57" s="30" t="str">
        <f>IF('Trade Log'!B43="","",'Trade Log'!E43)</f>
        <v/>
      </c>
      <c r="D57" s="30" t="str">
        <f>IF('Trade Log'!B43="","",'Trade Log'!F43)</f>
        <v/>
      </c>
      <c r="E57" s="31" t="str">
        <f>IF('Trade Log'!B43="","",'Trade Log'!I43)</f>
        <v/>
      </c>
      <c r="F57" s="32" t="str">
        <f>IF('Trade Log'!B43="","",'Trade Log'!J43)</f>
        <v/>
      </c>
      <c r="G57" s="29" t="str">
        <f>IF('Trade Log'!B43="","",'Trade Log'!K43)</f>
        <v/>
      </c>
      <c r="H57" s="29" t="str">
        <f>IF('Trade Log'!B43="","",'Trade Log'!M43)</f>
        <v/>
      </c>
      <c r="I57" s="32" t="str">
        <f>IF('Trade Log'!B43="","",'Trade Log'!N43)</f>
        <v/>
      </c>
      <c r="J57" s="33" t="str">
        <f>IF('Trade Log'!B43="","",'Trade Log'!L43)</f>
        <v/>
      </c>
    </row>
    <row r="58" spans="1:10" ht="20.100000000000001" customHeight="1">
      <c r="A58" s="22" t="str">
        <f>IF('Trade Log'!B44="","",'Trade Log'!A44)</f>
        <v/>
      </c>
      <c r="B58" s="23" t="str">
        <f>IF('Trade Log'!B44="","",'Trade Log'!B44)</f>
        <v/>
      </c>
      <c r="C58" s="24" t="str">
        <f>IF('Trade Log'!B44="","",'Trade Log'!E44)</f>
        <v/>
      </c>
      <c r="D58" s="24" t="str">
        <f>IF('Trade Log'!B44="","",'Trade Log'!F44)</f>
        <v/>
      </c>
      <c r="E58" s="25" t="str">
        <f>IF('Trade Log'!B44="","",'Trade Log'!I44)</f>
        <v/>
      </c>
      <c r="F58" s="26" t="str">
        <f>IF('Trade Log'!B44="","",'Trade Log'!J44)</f>
        <v/>
      </c>
      <c r="G58" s="23" t="str">
        <f>IF('Trade Log'!B44="","",'Trade Log'!K44)</f>
        <v/>
      </c>
      <c r="H58" s="23" t="str">
        <f>IF('Trade Log'!B44="","",'Trade Log'!M44)</f>
        <v/>
      </c>
      <c r="I58" s="26" t="str">
        <f>IF('Trade Log'!B44="","",'Trade Log'!N44)</f>
        <v/>
      </c>
      <c r="J58" s="27" t="str">
        <f>IF('Trade Log'!B44="","",'Trade Log'!L44)</f>
        <v/>
      </c>
    </row>
    <row r="59" spans="1:10" ht="20.100000000000001" customHeight="1">
      <c r="A59" s="28" t="str">
        <f>IF('Trade Log'!B45="","",'Trade Log'!A45)</f>
        <v/>
      </c>
      <c r="B59" s="29" t="str">
        <f>IF('Trade Log'!B45="","",'Trade Log'!B45)</f>
        <v/>
      </c>
      <c r="C59" s="30" t="str">
        <f>IF('Trade Log'!B45="","",'Trade Log'!E45)</f>
        <v/>
      </c>
      <c r="D59" s="30" t="str">
        <f>IF('Trade Log'!B45="","",'Trade Log'!F45)</f>
        <v/>
      </c>
      <c r="E59" s="31" t="str">
        <f>IF('Trade Log'!B45="","",'Trade Log'!I45)</f>
        <v/>
      </c>
      <c r="F59" s="32" t="str">
        <f>IF('Trade Log'!B45="","",'Trade Log'!J45)</f>
        <v/>
      </c>
      <c r="G59" s="29" t="str">
        <f>IF('Trade Log'!B45="","",'Trade Log'!K45)</f>
        <v/>
      </c>
      <c r="H59" s="29" t="str">
        <f>IF('Trade Log'!B45="","",'Trade Log'!M45)</f>
        <v/>
      </c>
      <c r="I59" s="32" t="str">
        <f>IF('Trade Log'!B45="","",'Trade Log'!N45)</f>
        <v/>
      </c>
      <c r="J59" s="33" t="str">
        <f>IF('Trade Log'!B45="","",'Trade Log'!L45)</f>
        <v/>
      </c>
    </row>
    <row r="60" spans="1:10" ht="20.100000000000001" customHeight="1">
      <c r="A60" s="22" t="str">
        <f>IF('Trade Log'!B46="","",'Trade Log'!A46)</f>
        <v/>
      </c>
      <c r="B60" s="23" t="str">
        <f>IF('Trade Log'!B46="","",'Trade Log'!B46)</f>
        <v/>
      </c>
      <c r="C60" s="24" t="str">
        <f>IF('Trade Log'!B46="","",'Trade Log'!E46)</f>
        <v/>
      </c>
      <c r="D60" s="24" t="str">
        <f>IF('Trade Log'!B46="","",'Trade Log'!F46)</f>
        <v/>
      </c>
      <c r="E60" s="25" t="str">
        <f>IF('Trade Log'!B46="","",'Trade Log'!I46)</f>
        <v/>
      </c>
      <c r="F60" s="26" t="str">
        <f>IF('Trade Log'!B46="","",'Trade Log'!J46)</f>
        <v/>
      </c>
      <c r="G60" s="23" t="str">
        <f>IF('Trade Log'!B46="","",'Trade Log'!K46)</f>
        <v/>
      </c>
      <c r="H60" s="23" t="str">
        <f>IF('Trade Log'!B46="","",'Trade Log'!M46)</f>
        <v/>
      </c>
      <c r="I60" s="26" t="str">
        <f>IF('Trade Log'!B46="","",'Trade Log'!N46)</f>
        <v/>
      </c>
      <c r="J60" s="27" t="str">
        <f>IF('Trade Log'!B46="","",'Trade Log'!L46)</f>
        <v/>
      </c>
    </row>
    <row r="61" spans="1:10" ht="20.100000000000001" customHeight="1">
      <c r="A61" s="28" t="str">
        <f>IF('Trade Log'!B47="","",'Trade Log'!A47)</f>
        <v/>
      </c>
      <c r="B61" s="29" t="str">
        <f>IF('Trade Log'!B47="","",'Trade Log'!B47)</f>
        <v/>
      </c>
      <c r="C61" s="30" t="str">
        <f>IF('Trade Log'!B47="","",'Trade Log'!E47)</f>
        <v/>
      </c>
      <c r="D61" s="30" t="str">
        <f>IF('Trade Log'!B47="","",'Trade Log'!F47)</f>
        <v/>
      </c>
      <c r="E61" s="31" t="str">
        <f>IF('Trade Log'!B47="","",'Trade Log'!I47)</f>
        <v/>
      </c>
      <c r="F61" s="32" t="str">
        <f>IF('Trade Log'!B47="","",'Trade Log'!J47)</f>
        <v/>
      </c>
      <c r="G61" s="29" t="str">
        <f>IF('Trade Log'!B47="","",'Trade Log'!K47)</f>
        <v/>
      </c>
      <c r="H61" s="29" t="str">
        <f>IF('Trade Log'!B47="","",'Trade Log'!M47)</f>
        <v/>
      </c>
      <c r="I61" s="32" t="str">
        <f>IF('Trade Log'!B47="","",'Trade Log'!N47)</f>
        <v/>
      </c>
      <c r="J61" s="33" t="str">
        <f>IF('Trade Log'!B47="","",'Trade Log'!L47)</f>
        <v/>
      </c>
    </row>
    <row r="62" spans="1:10" ht="20.100000000000001" customHeight="1">
      <c r="A62" s="22" t="str">
        <f>IF('Trade Log'!B48="","",'Trade Log'!A48)</f>
        <v/>
      </c>
      <c r="B62" s="23" t="str">
        <f>IF('Trade Log'!B48="","",'Trade Log'!B48)</f>
        <v/>
      </c>
      <c r="C62" s="24" t="str">
        <f>IF('Trade Log'!B48="","",'Trade Log'!E48)</f>
        <v/>
      </c>
      <c r="D62" s="24" t="str">
        <f>IF('Trade Log'!B48="","",'Trade Log'!F48)</f>
        <v/>
      </c>
      <c r="E62" s="25" t="str">
        <f>IF('Trade Log'!B48="","",'Trade Log'!I48)</f>
        <v/>
      </c>
      <c r="F62" s="26" t="str">
        <f>IF('Trade Log'!B48="","",'Trade Log'!J48)</f>
        <v/>
      </c>
      <c r="G62" s="23" t="str">
        <f>IF('Trade Log'!B48="","",'Trade Log'!K48)</f>
        <v/>
      </c>
      <c r="H62" s="23" t="str">
        <f>IF('Trade Log'!B48="","",'Trade Log'!M48)</f>
        <v/>
      </c>
      <c r="I62" s="26" t="str">
        <f>IF('Trade Log'!B48="","",'Trade Log'!N48)</f>
        <v/>
      </c>
      <c r="J62" s="27" t="str">
        <f>IF('Trade Log'!B48="","",'Trade Log'!L48)</f>
        <v/>
      </c>
    </row>
    <row r="63" spans="1:10" ht="20.100000000000001" customHeight="1">
      <c r="A63" s="28" t="str">
        <f>IF('Trade Log'!B49="","",'Trade Log'!A49)</f>
        <v/>
      </c>
      <c r="B63" s="29" t="str">
        <f>IF('Trade Log'!B49="","",'Trade Log'!B49)</f>
        <v/>
      </c>
      <c r="C63" s="30" t="str">
        <f>IF('Trade Log'!B49="","",'Trade Log'!E49)</f>
        <v/>
      </c>
      <c r="D63" s="30" t="str">
        <f>IF('Trade Log'!B49="","",'Trade Log'!F49)</f>
        <v/>
      </c>
      <c r="E63" s="31" t="str">
        <f>IF('Trade Log'!B49="","",'Trade Log'!I49)</f>
        <v/>
      </c>
      <c r="F63" s="32" t="str">
        <f>IF('Trade Log'!B49="","",'Trade Log'!J49)</f>
        <v/>
      </c>
      <c r="G63" s="29" t="str">
        <f>IF('Trade Log'!B49="","",'Trade Log'!K49)</f>
        <v/>
      </c>
      <c r="H63" s="29" t="str">
        <f>IF('Trade Log'!B49="","",'Trade Log'!M49)</f>
        <v/>
      </c>
      <c r="I63" s="32" t="str">
        <f>IF('Trade Log'!B49="","",'Trade Log'!N49)</f>
        <v/>
      </c>
      <c r="J63" s="33" t="str">
        <f>IF('Trade Log'!B49="","",'Trade Log'!L49)</f>
        <v/>
      </c>
    </row>
    <row r="64" spans="1:10" ht="20.100000000000001" customHeight="1">
      <c r="A64" s="22" t="str">
        <f>IF('Trade Log'!B50="","",'Trade Log'!A50)</f>
        <v/>
      </c>
      <c r="B64" s="23" t="str">
        <f>IF('Trade Log'!B50="","",'Trade Log'!B50)</f>
        <v/>
      </c>
      <c r="C64" s="24" t="str">
        <f>IF('Trade Log'!B50="","",'Trade Log'!E50)</f>
        <v/>
      </c>
      <c r="D64" s="24" t="str">
        <f>IF('Trade Log'!B50="","",'Trade Log'!F50)</f>
        <v/>
      </c>
      <c r="E64" s="25" t="str">
        <f>IF('Trade Log'!B50="","",'Trade Log'!I50)</f>
        <v/>
      </c>
      <c r="F64" s="26" t="str">
        <f>IF('Trade Log'!B50="","",'Trade Log'!J50)</f>
        <v/>
      </c>
      <c r="G64" s="23" t="str">
        <f>IF('Trade Log'!B50="","",'Trade Log'!K50)</f>
        <v/>
      </c>
      <c r="H64" s="23" t="str">
        <f>IF('Trade Log'!B50="","",'Trade Log'!M50)</f>
        <v/>
      </c>
      <c r="I64" s="26" t="str">
        <f>IF('Trade Log'!B50="","",'Trade Log'!N50)</f>
        <v/>
      </c>
      <c r="J64" s="27" t="str">
        <f>IF('Trade Log'!B50="","",'Trade Log'!L50)</f>
        <v/>
      </c>
    </row>
    <row r="65" spans="1:10" ht="20.100000000000001" customHeight="1">
      <c r="A65" s="28" t="str">
        <f>IF('Trade Log'!B51="","",'Trade Log'!A51)</f>
        <v/>
      </c>
      <c r="B65" s="29" t="str">
        <f>IF('Trade Log'!B51="","",'Trade Log'!B51)</f>
        <v/>
      </c>
      <c r="C65" s="30" t="str">
        <f>IF('Trade Log'!B51="","",'Trade Log'!E51)</f>
        <v/>
      </c>
      <c r="D65" s="30" t="str">
        <f>IF('Trade Log'!B51="","",'Trade Log'!F51)</f>
        <v/>
      </c>
      <c r="E65" s="31" t="str">
        <f>IF('Trade Log'!B51="","",'Trade Log'!I51)</f>
        <v/>
      </c>
      <c r="F65" s="32" t="str">
        <f>IF('Trade Log'!B51="","",'Trade Log'!J51)</f>
        <v/>
      </c>
      <c r="G65" s="29" t="str">
        <f>IF('Trade Log'!B51="","",'Trade Log'!K51)</f>
        <v/>
      </c>
      <c r="H65" s="29" t="str">
        <f>IF('Trade Log'!B51="","",'Trade Log'!M51)</f>
        <v/>
      </c>
      <c r="I65" s="32" t="str">
        <f>IF('Trade Log'!B51="","",'Trade Log'!N51)</f>
        <v/>
      </c>
      <c r="J65" s="33" t="str">
        <f>IF('Trade Log'!B51="","",'Trade Log'!L51)</f>
        <v/>
      </c>
    </row>
    <row r="66" spans="1:10" ht="20.100000000000001" customHeight="1">
      <c r="A66" s="22" t="str">
        <f>IF('Trade Log'!B52="","",'Trade Log'!A52)</f>
        <v/>
      </c>
      <c r="B66" s="23" t="str">
        <f>IF('Trade Log'!B52="","",'Trade Log'!B52)</f>
        <v/>
      </c>
      <c r="C66" s="24" t="str">
        <f>IF('Trade Log'!B52="","",'Trade Log'!E52)</f>
        <v/>
      </c>
      <c r="D66" s="24" t="str">
        <f>IF('Trade Log'!B52="","",'Trade Log'!F52)</f>
        <v/>
      </c>
      <c r="E66" s="25" t="str">
        <f>IF('Trade Log'!B52="","",'Trade Log'!I52)</f>
        <v/>
      </c>
      <c r="F66" s="26" t="str">
        <f>IF('Trade Log'!B52="","",'Trade Log'!J52)</f>
        <v/>
      </c>
      <c r="G66" s="23" t="str">
        <f>IF('Trade Log'!B52="","",'Trade Log'!K52)</f>
        <v/>
      </c>
      <c r="H66" s="23" t="str">
        <f>IF('Trade Log'!B52="","",'Trade Log'!M52)</f>
        <v/>
      </c>
      <c r="I66" s="26" t="str">
        <f>IF('Trade Log'!B52="","",'Trade Log'!N52)</f>
        <v/>
      </c>
      <c r="J66" s="27" t="str">
        <f>IF('Trade Log'!B52="","",'Trade Log'!L52)</f>
        <v/>
      </c>
    </row>
    <row r="67" spans="1:10" ht="20.100000000000001" customHeight="1">
      <c r="A67" s="28" t="str">
        <f>IF('Trade Log'!B53="","",'Trade Log'!A53)</f>
        <v/>
      </c>
      <c r="B67" s="29" t="str">
        <f>IF('Trade Log'!B53="","",'Trade Log'!B53)</f>
        <v/>
      </c>
      <c r="C67" s="30" t="str">
        <f>IF('Trade Log'!B53="","",'Trade Log'!E53)</f>
        <v/>
      </c>
      <c r="D67" s="30" t="str">
        <f>IF('Trade Log'!B53="","",'Trade Log'!F53)</f>
        <v/>
      </c>
      <c r="E67" s="31" t="str">
        <f>IF('Trade Log'!B53="","",'Trade Log'!I53)</f>
        <v/>
      </c>
      <c r="F67" s="32" t="str">
        <f>IF('Trade Log'!B53="","",'Trade Log'!J53)</f>
        <v/>
      </c>
      <c r="G67" s="29" t="str">
        <f>IF('Trade Log'!B53="","",'Trade Log'!K53)</f>
        <v/>
      </c>
      <c r="H67" s="29" t="str">
        <f>IF('Trade Log'!B53="","",'Trade Log'!M53)</f>
        <v/>
      </c>
      <c r="I67" s="32" t="str">
        <f>IF('Trade Log'!B53="","",'Trade Log'!N53)</f>
        <v/>
      </c>
      <c r="J67" s="33" t="str">
        <f>IF('Trade Log'!B53="","",'Trade Log'!L53)</f>
        <v/>
      </c>
    </row>
    <row r="68" spans="1:10" ht="20.100000000000001" customHeight="1">
      <c r="A68" s="22" t="str">
        <f>IF('Trade Log'!B54="","",'Trade Log'!A54)</f>
        <v/>
      </c>
      <c r="B68" s="23" t="str">
        <f>IF('Trade Log'!B54="","",'Trade Log'!B54)</f>
        <v/>
      </c>
      <c r="C68" s="24" t="str">
        <f>IF('Trade Log'!B54="","",'Trade Log'!E54)</f>
        <v/>
      </c>
      <c r="D68" s="24" t="str">
        <f>IF('Trade Log'!B54="","",'Trade Log'!F54)</f>
        <v/>
      </c>
      <c r="E68" s="25" t="str">
        <f>IF('Trade Log'!B54="","",'Trade Log'!I54)</f>
        <v/>
      </c>
      <c r="F68" s="26" t="str">
        <f>IF('Trade Log'!B54="","",'Trade Log'!J54)</f>
        <v/>
      </c>
      <c r="G68" s="23" t="str">
        <f>IF('Trade Log'!B54="","",'Trade Log'!K54)</f>
        <v/>
      </c>
      <c r="H68" s="23" t="str">
        <f>IF('Trade Log'!B54="","",'Trade Log'!M54)</f>
        <v/>
      </c>
      <c r="I68" s="26" t="str">
        <f>IF('Trade Log'!B54="","",'Trade Log'!N54)</f>
        <v/>
      </c>
      <c r="J68" s="27" t="str">
        <f>IF('Trade Log'!B54="","",'Trade Log'!L54)</f>
        <v/>
      </c>
    </row>
    <row r="69" spans="1:10" ht="20.100000000000001" customHeight="1">
      <c r="A69" s="28" t="str">
        <f>IF('Trade Log'!B55="","",'Trade Log'!A55)</f>
        <v/>
      </c>
      <c r="B69" s="29" t="str">
        <f>IF('Trade Log'!B55="","",'Trade Log'!B55)</f>
        <v/>
      </c>
      <c r="C69" s="30" t="str">
        <f>IF('Trade Log'!B55="","",'Trade Log'!E55)</f>
        <v/>
      </c>
      <c r="D69" s="30" t="str">
        <f>IF('Trade Log'!B55="","",'Trade Log'!F55)</f>
        <v/>
      </c>
      <c r="E69" s="31" t="str">
        <f>IF('Trade Log'!B55="","",'Trade Log'!I55)</f>
        <v/>
      </c>
      <c r="F69" s="32" t="str">
        <f>IF('Trade Log'!B55="","",'Trade Log'!J55)</f>
        <v/>
      </c>
      <c r="G69" s="29" t="str">
        <f>IF('Trade Log'!B55="","",'Trade Log'!K55)</f>
        <v/>
      </c>
      <c r="H69" s="29" t="str">
        <f>IF('Trade Log'!B55="","",'Trade Log'!M55)</f>
        <v/>
      </c>
      <c r="I69" s="32" t="str">
        <f>IF('Trade Log'!B55="","",'Trade Log'!N55)</f>
        <v/>
      </c>
      <c r="J69" s="33" t="str">
        <f>IF('Trade Log'!B55="","",'Trade Log'!L55)</f>
        <v/>
      </c>
    </row>
  </sheetData>
  <mergeCells count="28">
    <mergeCell ref="A1:L1"/>
    <mergeCell ref="A9:B9"/>
    <mergeCell ref="G9:H9"/>
    <mergeCell ref="I9:J9"/>
    <mergeCell ref="K4:L4"/>
    <mergeCell ref="E8:F8"/>
    <mergeCell ref="C4:D4"/>
    <mergeCell ref="A2:L2"/>
    <mergeCell ref="E4:F4"/>
    <mergeCell ref="K8:L8"/>
    <mergeCell ref="A5:B5"/>
    <mergeCell ref="G5:H5"/>
    <mergeCell ref="I5:J5"/>
    <mergeCell ref="I8:J8"/>
    <mergeCell ref="A8:B8"/>
    <mergeCell ref="C8:D8"/>
    <mergeCell ref="A4:B4"/>
    <mergeCell ref="G4:H4"/>
    <mergeCell ref="I4:J4"/>
    <mergeCell ref="A16:L16"/>
    <mergeCell ref="C5:D5"/>
    <mergeCell ref="K9:L9"/>
    <mergeCell ref="E5:F5"/>
    <mergeCell ref="K5:L5"/>
    <mergeCell ref="G8:H8"/>
    <mergeCell ref="C9:D9"/>
    <mergeCell ref="E9:F9"/>
    <mergeCell ref="A15:L15"/>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35"/>
  <sheetViews>
    <sheetView showGridLines="0" workbookViewId="0"/>
  </sheetViews>
  <sheetFormatPr defaultRowHeight="15"/>
  <cols>
    <col min="1" max="1" width="28" customWidth="1"/>
    <col min="2" max="2" width="70" customWidth="1"/>
  </cols>
  <sheetData>
    <row r="1" spans="1:6" ht="36" customHeight="1">
      <c r="A1" s="56" t="s">
        <v>53</v>
      </c>
      <c r="B1" s="54"/>
      <c r="C1" s="54"/>
      <c r="D1" s="54"/>
      <c r="E1" s="54"/>
      <c r="F1" s="54"/>
    </row>
    <row r="2" spans="1:6" ht="20.100000000000001" customHeight="1"/>
    <row r="3" spans="1:6" ht="20.100000000000001" customHeight="1">
      <c r="A3" s="75" t="s">
        <v>54</v>
      </c>
      <c r="B3" s="76"/>
      <c r="C3" s="76"/>
      <c r="D3" s="76"/>
      <c r="E3" s="76"/>
      <c r="F3" s="77"/>
    </row>
    <row r="4" spans="1:6" ht="27.95" customHeight="1">
      <c r="A4" s="35" t="s">
        <v>6</v>
      </c>
      <c r="B4" s="36" t="s">
        <v>55</v>
      </c>
    </row>
    <row r="5" spans="1:6" ht="27.95" customHeight="1">
      <c r="A5" s="35" t="s">
        <v>7</v>
      </c>
      <c r="B5" s="36" t="s">
        <v>56</v>
      </c>
    </row>
    <row r="6" spans="1:6" ht="27.95" customHeight="1">
      <c r="A6" s="35" t="s">
        <v>57</v>
      </c>
      <c r="B6" s="36" t="s">
        <v>58</v>
      </c>
    </row>
    <row r="7" spans="1:6" ht="27.95" customHeight="1">
      <c r="A7" s="35" t="s">
        <v>59</v>
      </c>
      <c r="B7" s="36" t="s">
        <v>60</v>
      </c>
    </row>
    <row r="8" spans="1:6" ht="27.95" customHeight="1">
      <c r="A8" s="35" t="s">
        <v>61</v>
      </c>
      <c r="B8" s="36" t="s">
        <v>62</v>
      </c>
    </row>
    <row r="9" spans="1:6" ht="27.95" customHeight="1">
      <c r="A9" s="35" t="s">
        <v>63</v>
      </c>
      <c r="B9" s="36" t="s">
        <v>64</v>
      </c>
    </row>
    <row r="10" spans="1:6" ht="39.950000000000003" customHeight="1">
      <c r="A10" s="45" t="s">
        <v>65</v>
      </c>
      <c r="B10" s="36" t="s">
        <v>66</v>
      </c>
    </row>
    <row r="11" spans="1:6" ht="27.95" customHeight="1">
      <c r="A11" s="35" t="s">
        <v>67</v>
      </c>
      <c r="B11" s="36" t="s">
        <v>68</v>
      </c>
    </row>
    <row r="12" spans="1:6" ht="27.95" customHeight="1">
      <c r="A12" s="35" t="s">
        <v>69</v>
      </c>
      <c r="B12" s="36" t="s">
        <v>70</v>
      </c>
    </row>
    <row r="13" spans="1:6" ht="27.95" customHeight="1">
      <c r="A13" s="35" t="s">
        <v>20</v>
      </c>
      <c r="B13" s="36" t="s">
        <v>71</v>
      </c>
    </row>
    <row r="14" spans="1:6" ht="27.95" customHeight="1">
      <c r="A14" s="35" t="s">
        <v>21</v>
      </c>
      <c r="B14" s="36" t="s">
        <v>72</v>
      </c>
    </row>
    <row r="15" spans="1:6" ht="27.95" customHeight="1">
      <c r="A15" s="35" t="s">
        <v>73</v>
      </c>
      <c r="B15" s="36" t="s">
        <v>74</v>
      </c>
    </row>
    <row r="16" spans="1:6" ht="27.95" customHeight="1">
      <c r="A16" s="35" t="s">
        <v>75</v>
      </c>
      <c r="B16" s="36" t="s">
        <v>76</v>
      </c>
    </row>
    <row r="17" spans="1:6" ht="20.100000000000001" customHeight="1">
      <c r="A17" s="35" t="s">
        <v>77</v>
      </c>
      <c r="B17" s="36" t="s">
        <v>78</v>
      </c>
    </row>
    <row r="18" spans="1:6" ht="20.100000000000001" customHeight="1">
      <c r="A18" s="54"/>
      <c r="B18" s="54"/>
      <c r="C18" s="54"/>
      <c r="D18" s="54"/>
      <c r="E18" s="54"/>
      <c r="F18" s="54"/>
    </row>
    <row r="19" spans="1:6" ht="27.95" customHeight="1">
      <c r="A19" s="34" t="s">
        <v>79</v>
      </c>
      <c r="B19" s="43"/>
      <c r="C19" s="43"/>
      <c r="D19" s="43"/>
      <c r="E19" s="43"/>
      <c r="F19" s="44"/>
    </row>
    <row r="20" spans="1:6" ht="27.95" customHeight="1">
      <c r="A20" s="35" t="s">
        <v>80</v>
      </c>
      <c r="B20" s="36" t="s">
        <v>81</v>
      </c>
    </row>
    <row r="21" spans="1:6" ht="27.95" customHeight="1">
      <c r="A21" s="35" t="s">
        <v>48</v>
      </c>
      <c r="B21" s="36" t="s">
        <v>82</v>
      </c>
    </row>
    <row r="22" spans="1:6" ht="27.95" customHeight="1">
      <c r="A22" s="35" t="s">
        <v>49</v>
      </c>
      <c r="B22" s="36" t="s">
        <v>83</v>
      </c>
    </row>
    <row r="23" spans="1:6" ht="20.100000000000001" customHeight="1">
      <c r="A23" s="35" t="s">
        <v>84</v>
      </c>
      <c r="B23" s="36" t="s">
        <v>85</v>
      </c>
    </row>
    <row r="24" spans="1:6" ht="20.100000000000001" customHeight="1">
      <c r="A24" s="54"/>
      <c r="B24" s="54"/>
      <c r="C24" s="54"/>
      <c r="D24" s="54"/>
      <c r="E24" s="54"/>
      <c r="F24" s="54"/>
    </row>
    <row r="25" spans="1:6" ht="27.95" customHeight="1">
      <c r="A25" s="34" t="s">
        <v>86</v>
      </c>
      <c r="B25" s="43"/>
      <c r="C25" s="43"/>
      <c r="D25" s="43"/>
      <c r="E25" s="43"/>
      <c r="F25" s="44"/>
    </row>
    <row r="26" spans="1:6" ht="27.95" customHeight="1">
      <c r="A26" s="35" t="s">
        <v>87</v>
      </c>
      <c r="B26" s="36" t="s">
        <v>88</v>
      </c>
    </row>
    <row r="27" spans="1:6" ht="27.95" customHeight="1">
      <c r="A27" s="35" t="s">
        <v>89</v>
      </c>
      <c r="B27" s="36" t="s">
        <v>90</v>
      </c>
    </row>
    <row r="28" spans="1:6" ht="27.95" customHeight="1">
      <c r="A28" s="35" t="s">
        <v>91</v>
      </c>
      <c r="B28" s="36" t="s">
        <v>92</v>
      </c>
    </row>
    <row r="29" spans="1:6" ht="20.100000000000001" customHeight="1">
      <c r="A29" s="35" t="s">
        <v>93</v>
      </c>
      <c r="B29" s="36" t="s">
        <v>94</v>
      </c>
    </row>
    <row r="30" spans="1:6" ht="20.100000000000001" customHeight="1">
      <c r="A30" s="54"/>
      <c r="B30" s="54"/>
      <c r="C30" s="54"/>
      <c r="D30" s="54"/>
      <c r="E30" s="54"/>
      <c r="F30" s="54"/>
    </row>
    <row r="31" spans="1:6" ht="27.95" customHeight="1">
      <c r="A31" s="34" t="s">
        <v>95</v>
      </c>
      <c r="B31" s="43"/>
      <c r="C31" s="43"/>
      <c r="D31" s="43"/>
      <c r="E31" s="43"/>
      <c r="F31" s="44"/>
    </row>
    <row r="32" spans="1:6" ht="27.95" customHeight="1">
      <c r="A32" s="35" t="s">
        <v>96</v>
      </c>
      <c r="B32" s="36" t="s">
        <v>97</v>
      </c>
    </row>
    <row r="33" spans="1:2" ht="27.95" customHeight="1">
      <c r="A33" s="35" t="s">
        <v>98</v>
      </c>
      <c r="B33" s="36" t="s">
        <v>99</v>
      </c>
    </row>
    <row r="34" spans="1:2" ht="27.95" customHeight="1">
      <c r="A34" s="35" t="s">
        <v>100</v>
      </c>
      <c r="B34" s="36" t="s">
        <v>101</v>
      </c>
    </row>
    <row r="35" spans="1:2">
      <c r="A35" s="35" t="s">
        <v>102</v>
      </c>
      <c r="B35" s="36" t="s">
        <v>103</v>
      </c>
    </row>
  </sheetData>
  <mergeCells count="5">
    <mergeCell ref="A24:F24"/>
    <mergeCell ref="A1:F1"/>
    <mergeCell ref="A18:F18"/>
    <mergeCell ref="A3:F3"/>
    <mergeCell ref="A30:F30"/>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88"/>
  <sheetViews>
    <sheetView showGridLines="0" workbookViewId="0"/>
  </sheetViews>
  <sheetFormatPr defaultRowHeight="15"/>
  <cols>
    <col min="1" max="1" width="6" customWidth="1"/>
    <col min="2" max="2" width="80" customWidth="1"/>
  </cols>
  <sheetData>
    <row r="1" spans="1:6" ht="32.1" customHeight="1">
      <c r="A1" s="78" t="s">
        <v>104</v>
      </c>
      <c r="B1" s="54"/>
      <c r="C1" s="54"/>
      <c r="D1" s="54"/>
      <c r="E1" s="54"/>
      <c r="F1" s="54"/>
    </row>
    <row r="2" spans="1:6" ht="21.95" customHeight="1">
      <c r="B2" s="46"/>
    </row>
    <row r="3" spans="1:6" ht="21.95" customHeight="1">
      <c r="A3" s="47" t="s">
        <v>105</v>
      </c>
      <c r="B3" s="48" t="s">
        <v>106</v>
      </c>
    </row>
    <row r="4" spans="1:6" ht="21.95" customHeight="1">
      <c r="B4" s="46" t="s">
        <v>107</v>
      </c>
    </row>
    <row r="5" spans="1:6" ht="21.95" customHeight="1">
      <c r="B5" s="48" t="s">
        <v>108</v>
      </c>
    </row>
    <row r="6" spans="1:6" ht="21.95" customHeight="1">
      <c r="B6" s="46"/>
    </row>
    <row r="7" spans="1:6" ht="21.95" customHeight="1">
      <c r="A7" s="47" t="s">
        <v>109</v>
      </c>
      <c r="B7" s="48" t="s">
        <v>110</v>
      </c>
    </row>
    <row r="8" spans="1:6" ht="21.95" customHeight="1">
      <c r="B8" s="46" t="s">
        <v>111</v>
      </c>
    </row>
    <row r="9" spans="1:6" ht="21.95" customHeight="1">
      <c r="B9" s="48"/>
    </row>
    <row r="10" spans="1:6" ht="21.95" customHeight="1">
      <c r="A10" s="47" t="s">
        <v>112</v>
      </c>
      <c r="B10" s="46" t="s">
        <v>113</v>
      </c>
    </row>
    <row r="11" spans="1:6" ht="21.95" customHeight="1">
      <c r="B11" s="48" t="s">
        <v>114</v>
      </c>
    </row>
    <row r="12" spans="1:6" ht="21.95" customHeight="1">
      <c r="B12" s="46" t="s">
        <v>115</v>
      </c>
    </row>
    <row r="13" spans="1:6" ht="21.95" customHeight="1">
      <c r="B13" s="48" t="s">
        <v>116</v>
      </c>
    </row>
    <row r="14" spans="1:6" ht="21.95" customHeight="1">
      <c r="B14" s="46"/>
    </row>
    <row r="15" spans="1:6" ht="21.95" customHeight="1">
      <c r="A15" s="47" t="s">
        <v>117</v>
      </c>
      <c r="B15" s="48" t="s">
        <v>118</v>
      </c>
    </row>
    <row r="16" spans="1:6" ht="21.95" customHeight="1">
      <c r="B16" s="46" t="s">
        <v>119</v>
      </c>
    </row>
    <row r="17" spans="1:6" ht="21.95" customHeight="1">
      <c r="B17" s="48" t="s">
        <v>120</v>
      </c>
    </row>
    <row r="18" spans="1:6" ht="21.95" customHeight="1">
      <c r="B18" s="46" t="s">
        <v>121</v>
      </c>
    </row>
    <row r="19" spans="1:6" ht="21.95" customHeight="1">
      <c r="B19" s="48" t="s">
        <v>122</v>
      </c>
    </row>
    <row r="20" spans="1:6" ht="21.95" customHeight="1">
      <c r="B20" s="46" t="s">
        <v>123</v>
      </c>
    </row>
    <row r="21" spans="1:6" ht="21.95" customHeight="1">
      <c r="B21" s="48"/>
    </row>
    <row r="22" spans="1:6" ht="21.95" customHeight="1">
      <c r="A22" s="47" t="s">
        <v>124</v>
      </c>
      <c r="B22" s="46" t="s">
        <v>125</v>
      </c>
    </row>
    <row r="23" spans="1:6" ht="21.95" customHeight="1">
      <c r="B23" s="48" t="s">
        <v>126</v>
      </c>
    </row>
    <row r="24" spans="1:6" ht="21.95" customHeight="1">
      <c r="B24" s="46" t="s">
        <v>127</v>
      </c>
    </row>
    <row r="27" spans="1:6" ht="27.95" customHeight="1">
      <c r="A27" s="80" t="s">
        <v>128</v>
      </c>
      <c r="B27" s="54"/>
      <c r="C27" s="54"/>
      <c r="D27" s="54"/>
      <c r="E27" s="54"/>
      <c r="F27" s="54"/>
    </row>
    <row r="28" spans="1:6" ht="409.6" customHeight="1">
      <c r="A28" s="79" t="s">
        <v>129</v>
      </c>
      <c r="B28" s="54"/>
      <c r="C28" s="54"/>
      <c r="D28" s="54"/>
      <c r="E28" s="54"/>
      <c r="F28" s="54"/>
    </row>
    <row r="29" spans="1:6">
      <c r="A29" s="54"/>
      <c r="B29" s="54"/>
      <c r="C29" s="54"/>
      <c r="D29" s="54"/>
      <c r="E29" s="54"/>
      <c r="F29" s="54"/>
    </row>
    <row r="30" spans="1:6">
      <c r="A30" s="54"/>
      <c r="B30" s="54"/>
      <c r="C30" s="54"/>
      <c r="D30" s="54"/>
      <c r="E30" s="54"/>
      <c r="F30" s="54"/>
    </row>
    <row r="31" spans="1:6">
      <c r="A31" s="54"/>
      <c r="B31" s="54"/>
      <c r="C31" s="54"/>
      <c r="D31" s="54"/>
      <c r="E31" s="54"/>
      <c r="F31" s="54"/>
    </row>
    <row r="32" spans="1:6">
      <c r="A32" s="54"/>
      <c r="B32" s="54"/>
      <c r="C32" s="54"/>
      <c r="D32" s="54"/>
      <c r="E32" s="54"/>
      <c r="F32" s="54"/>
    </row>
    <row r="33" spans="1:6">
      <c r="A33" s="54"/>
      <c r="B33" s="54"/>
      <c r="C33" s="54"/>
      <c r="D33" s="54"/>
      <c r="E33" s="54"/>
      <c r="F33" s="54"/>
    </row>
    <row r="34" spans="1:6">
      <c r="A34" s="54"/>
      <c r="B34" s="54"/>
      <c r="C34" s="54"/>
      <c r="D34" s="54"/>
      <c r="E34" s="54"/>
      <c r="F34" s="54"/>
    </row>
    <row r="35" spans="1:6">
      <c r="A35" s="54"/>
      <c r="B35" s="54"/>
      <c r="C35" s="54"/>
      <c r="D35" s="54"/>
      <c r="E35" s="54"/>
      <c r="F35" s="54"/>
    </row>
    <row r="36" spans="1:6">
      <c r="A36" s="54"/>
      <c r="B36" s="54"/>
      <c r="C36" s="54"/>
      <c r="D36" s="54"/>
      <c r="E36" s="54"/>
      <c r="F36" s="54"/>
    </row>
    <row r="37" spans="1:6">
      <c r="A37" s="54"/>
      <c r="B37" s="54"/>
      <c r="C37" s="54"/>
      <c r="D37" s="54"/>
      <c r="E37" s="54"/>
      <c r="F37" s="54"/>
    </row>
    <row r="38" spans="1:6">
      <c r="A38" s="54"/>
      <c r="B38" s="54"/>
      <c r="C38" s="54"/>
      <c r="D38" s="54"/>
      <c r="E38" s="54"/>
      <c r="F38" s="54"/>
    </row>
    <row r="39" spans="1:6">
      <c r="A39" s="54"/>
      <c r="B39" s="54"/>
      <c r="C39" s="54"/>
      <c r="D39" s="54"/>
      <c r="E39" s="54"/>
      <c r="F39" s="54"/>
    </row>
    <row r="40" spans="1:6">
      <c r="A40" s="54"/>
      <c r="B40" s="54"/>
      <c r="C40" s="54"/>
      <c r="D40" s="54"/>
      <c r="E40" s="54"/>
      <c r="F40" s="54"/>
    </row>
    <row r="41" spans="1:6">
      <c r="A41" s="54"/>
      <c r="B41" s="54"/>
      <c r="C41" s="54"/>
      <c r="D41" s="54"/>
      <c r="E41" s="54"/>
      <c r="F41" s="54"/>
    </row>
    <row r="42" spans="1:6">
      <c r="A42" s="54"/>
      <c r="B42" s="54"/>
      <c r="C42" s="54"/>
      <c r="D42" s="54"/>
      <c r="E42" s="54"/>
      <c r="F42" s="54"/>
    </row>
    <row r="43" spans="1:6">
      <c r="A43" s="54"/>
      <c r="B43" s="54"/>
      <c r="C43" s="54"/>
      <c r="D43" s="54"/>
      <c r="E43" s="54"/>
      <c r="F43" s="54"/>
    </row>
    <row r="44" spans="1:6">
      <c r="A44" s="54"/>
      <c r="B44" s="54"/>
      <c r="C44" s="54"/>
      <c r="D44" s="54"/>
      <c r="E44" s="54"/>
      <c r="F44" s="54"/>
    </row>
    <row r="45" spans="1:6">
      <c r="A45" s="54"/>
      <c r="B45" s="54"/>
      <c r="C45" s="54"/>
      <c r="D45" s="54"/>
      <c r="E45" s="54"/>
      <c r="F45" s="54"/>
    </row>
    <row r="46" spans="1:6">
      <c r="A46" s="54"/>
      <c r="B46" s="54"/>
      <c r="C46" s="54"/>
      <c r="D46" s="54"/>
      <c r="E46" s="54"/>
      <c r="F46" s="54"/>
    </row>
    <row r="47" spans="1:6">
      <c r="A47" s="54"/>
      <c r="B47" s="54"/>
      <c r="C47" s="54"/>
      <c r="D47" s="54"/>
      <c r="E47" s="54"/>
      <c r="F47" s="54"/>
    </row>
    <row r="48" spans="1:6">
      <c r="A48" s="54"/>
      <c r="B48" s="54"/>
      <c r="C48" s="54"/>
      <c r="D48" s="54"/>
      <c r="E48" s="54"/>
      <c r="F48" s="54"/>
    </row>
    <row r="49" spans="1:6">
      <c r="A49" s="54"/>
      <c r="B49" s="54"/>
      <c r="C49" s="54"/>
      <c r="D49" s="54"/>
      <c r="E49" s="54"/>
      <c r="F49" s="54"/>
    </row>
    <row r="50" spans="1:6">
      <c r="A50" s="54"/>
      <c r="B50" s="54"/>
      <c r="C50" s="54"/>
      <c r="D50" s="54"/>
      <c r="E50" s="54"/>
      <c r="F50" s="54"/>
    </row>
    <row r="51" spans="1:6">
      <c r="A51" s="54"/>
      <c r="B51" s="54"/>
      <c r="C51" s="54"/>
      <c r="D51" s="54"/>
      <c r="E51" s="54"/>
      <c r="F51" s="54"/>
    </row>
    <row r="52" spans="1:6">
      <c r="A52" s="54"/>
      <c r="B52" s="54"/>
      <c r="C52" s="54"/>
      <c r="D52" s="54"/>
      <c r="E52" s="54"/>
      <c r="F52" s="54"/>
    </row>
    <row r="53" spans="1:6">
      <c r="A53" s="54"/>
      <c r="B53" s="54"/>
      <c r="C53" s="54"/>
      <c r="D53" s="54"/>
      <c r="E53" s="54"/>
      <c r="F53" s="54"/>
    </row>
    <row r="54" spans="1:6">
      <c r="A54" s="54"/>
      <c r="B54" s="54"/>
      <c r="C54" s="54"/>
      <c r="D54" s="54"/>
      <c r="E54" s="54"/>
      <c r="F54" s="54"/>
    </row>
    <row r="55" spans="1:6">
      <c r="A55" s="54"/>
      <c r="B55" s="54"/>
      <c r="C55" s="54"/>
      <c r="D55" s="54"/>
      <c r="E55" s="54"/>
      <c r="F55" s="54"/>
    </row>
    <row r="56" spans="1:6">
      <c r="A56" s="54"/>
      <c r="B56" s="54"/>
      <c r="C56" s="54"/>
      <c r="D56" s="54"/>
      <c r="E56" s="54"/>
      <c r="F56" s="54"/>
    </row>
    <row r="57" spans="1:6">
      <c r="A57" s="54"/>
      <c r="B57" s="54"/>
      <c r="C57" s="54"/>
      <c r="D57" s="54"/>
      <c r="E57" s="54"/>
      <c r="F57" s="54"/>
    </row>
    <row r="58" spans="1:6">
      <c r="A58" s="54"/>
      <c r="B58" s="54"/>
      <c r="C58" s="54"/>
      <c r="D58" s="54"/>
      <c r="E58" s="54"/>
      <c r="F58" s="54"/>
    </row>
    <row r="59" spans="1:6">
      <c r="A59" s="54"/>
      <c r="B59" s="54"/>
      <c r="C59" s="54"/>
      <c r="D59" s="54"/>
      <c r="E59" s="54"/>
      <c r="F59" s="54"/>
    </row>
    <row r="60" spans="1:6">
      <c r="A60" s="54"/>
      <c r="B60" s="54"/>
      <c r="C60" s="54"/>
      <c r="D60" s="54"/>
      <c r="E60" s="54"/>
      <c r="F60" s="54"/>
    </row>
    <row r="61" spans="1:6">
      <c r="A61" s="54"/>
      <c r="B61" s="54"/>
      <c r="C61" s="54"/>
      <c r="D61" s="54"/>
      <c r="E61" s="54"/>
      <c r="F61" s="54"/>
    </row>
    <row r="62" spans="1:6">
      <c r="A62" s="54"/>
      <c r="B62" s="54"/>
      <c r="C62" s="54"/>
      <c r="D62" s="54"/>
      <c r="E62" s="54"/>
      <c r="F62" s="54"/>
    </row>
    <row r="63" spans="1:6">
      <c r="A63" s="54"/>
      <c r="B63" s="54"/>
      <c r="C63" s="54"/>
      <c r="D63" s="54"/>
      <c r="E63" s="54"/>
      <c r="F63" s="54"/>
    </row>
    <row r="64" spans="1:6">
      <c r="A64" s="54"/>
      <c r="B64" s="54"/>
      <c r="C64" s="54"/>
      <c r="D64" s="54"/>
      <c r="E64" s="54"/>
      <c r="F64" s="54"/>
    </row>
    <row r="65" spans="1:6">
      <c r="A65" s="54"/>
      <c r="B65" s="54"/>
      <c r="C65" s="54"/>
      <c r="D65" s="54"/>
      <c r="E65" s="54"/>
      <c r="F65" s="54"/>
    </row>
    <row r="66" spans="1:6">
      <c r="A66" s="54"/>
      <c r="B66" s="54"/>
      <c r="C66" s="54"/>
      <c r="D66" s="54"/>
      <c r="E66" s="54"/>
      <c r="F66" s="54"/>
    </row>
    <row r="67" spans="1:6">
      <c r="A67" s="54"/>
      <c r="B67" s="54"/>
      <c r="C67" s="54"/>
      <c r="D67" s="54"/>
      <c r="E67" s="54"/>
      <c r="F67" s="54"/>
    </row>
    <row r="68" spans="1:6">
      <c r="A68" s="54"/>
      <c r="B68" s="54"/>
      <c r="C68" s="54"/>
      <c r="D68" s="54"/>
      <c r="E68" s="54"/>
      <c r="F68" s="54"/>
    </row>
    <row r="69" spans="1:6">
      <c r="A69" s="54"/>
      <c r="B69" s="54"/>
      <c r="C69" s="54"/>
      <c r="D69" s="54"/>
      <c r="E69" s="54"/>
      <c r="F69" s="54"/>
    </row>
    <row r="70" spans="1:6">
      <c r="A70" s="54"/>
      <c r="B70" s="54"/>
      <c r="C70" s="54"/>
      <c r="D70" s="54"/>
      <c r="E70" s="54"/>
      <c r="F70" s="54"/>
    </row>
    <row r="71" spans="1:6">
      <c r="A71" s="54"/>
      <c r="B71" s="54"/>
      <c r="C71" s="54"/>
      <c r="D71" s="54"/>
      <c r="E71" s="54"/>
      <c r="F71" s="54"/>
    </row>
    <row r="72" spans="1:6">
      <c r="A72" s="54"/>
      <c r="B72" s="54"/>
      <c r="C72" s="54"/>
      <c r="D72" s="54"/>
      <c r="E72" s="54"/>
      <c r="F72" s="54"/>
    </row>
    <row r="73" spans="1:6">
      <c r="A73" s="54"/>
      <c r="B73" s="54"/>
      <c r="C73" s="54"/>
      <c r="D73" s="54"/>
      <c r="E73" s="54"/>
      <c r="F73" s="54"/>
    </row>
    <row r="74" spans="1:6">
      <c r="A74" s="54"/>
      <c r="B74" s="54"/>
      <c r="C74" s="54"/>
      <c r="D74" s="54"/>
      <c r="E74" s="54"/>
      <c r="F74" s="54"/>
    </row>
    <row r="75" spans="1:6">
      <c r="A75" s="54"/>
      <c r="B75" s="54"/>
      <c r="C75" s="54"/>
      <c r="D75" s="54"/>
      <c r="E75" s="54"/>
      <c r="F75" s="54"/>
    </row>
    <row r="76" spans="1:6">
      <c r="A76" s="54"/>
      <c r="B76" s="54"/>
      <c r="C76" s="54"/>
      <c r="D76" s="54"/>
      <c r="E76" s="54"/>
      <c r="F76" s="54"/>
    </row>
    <row r="77" spans="1:6">
      <c r="A77" s="54"/>
      <c r="B77" s="54"/>
      <c r="C77" s="54"/>
      <c r="D77" s="54"/>
      <c r="E77" s="54"/>
      <c r="F77" s="54"/>
    </row>
    <row r="78" spans="1:6">
      <c r="A78" s="54"/>
      <c r="B78" s="54"/>
      <c r="C78" s="54"/>
      <c r="D78" s="54"/>
      <c r="E78" s="54"/>
      <c r="F78" s="54"/>
    </row>
    <row r="79" spans="1:6">
      <c r="A79" s="54"/>
      <c r="B79" s="54"/>
      <c r="C79" s="54"/>
      <c r="D79" s="54"/>
      <c r="E79" s="54"/>
      <c r="F79" s="54"/>
    </row>
    <row r="80" spans="1:6">
      <c r="A80" s="54"/>
      <c r="B80" s="54"/>
      <c r="C80" s="54"/>
      <c r="D80" s="54"/>
      <c r="E80" s="54"/>
      <c r="F80" s="54"/>
    </row>
    <row r="81" spans="1:6">
      <c r="A81" s="54"/>
      <c r="B81" s="54"/>
      <c r="C81" s="54"/>
      <c r="D81" s="54"/>
      <c r="E81" s="54"/>
      <c r="F81" s="54"/>
    </row>
    <row r="82" spans="1:6">
      <c r="A82" s="54"/>
      <c r="B82" s="54"/>
      <c r="C82" s="54"/>
      <c r="D82" s="54"/>
      <c r="E82" s="54"/>
      <c r="F82" s="54"/>
    </row>
    <row r="83" spans="1:6">
      <c r="A83" s="54"/>
      <c r="B83" s="54"/>
      <c r="C83" s="54"/>
      <c r="D83" s="54"/>
      <c r="E83" s="54"/>
      <c r="F83" s="54"/>
    </row>
    <row r="84" spans="1:6">
      <c r="A84" s="54"/>
      <c r="B84" s="54"/>
      <c r="C84" s="54"/>
      <c r="D84" s="54"/>
      <c r="E84" s="54"/>
      <c r="F84" s="54"/>
    </row>
    <row r="85" spans="1:6">
      <c r="A85" s="54"/>
      <c r="B85" s="54"/>
      <c r="C85" s="54"/>
      <c r="D85" s="54"/>
      <c r="E85" s="54"/>
      <c r="F85" s="54"/>
    </row>
    <row r="86" spans="1:6">
      <c r="A86" s="54"/>
      <c r="B86" s="54"/>
      <c r="C86" s="54"/>
      <c r="D86" s="54"/>
      <c r="E86" s="54"/>
      <c r="F86" s="54"/>
    </row>
    <row r="87" spans="1:6">
      <c r="A87" s="54"/>
      <c r="B87" s="54"/>
      <c r="C87" s="54"/>
      <c r="D87" s="54"/>
      <c r="E87" s="54"/>
      <c r="F87" s="54"/>
    </row>
    <row r="88" spans="1:6">
      <c r="A88" s="54"/>
      <c r="B88" s="54"/>
      <c r="C88" s="54"/>
      <c r="D88" s="54"/>
      <c r="E88" s="54"/>
      <c r="F88" s="54"/>
    </row>
  </sheetData>
  <mergeCells count="3">
    <mergeCell ref="A1:F1"/>
    <mergeCell ref="A28:F88"/>
    <mergeCell ref="A27:F27"/>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Trade Log</vt:lpstr>
      <vt:lpstr>Summary</vt:lpstr>
      <vt:lpstr>How to Use</vt:lpstr>
      <vt:lpstr>Export Setup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Gary Stow</cp:lastModifiedBy>
  <dcterms:created xsi:type="dcterms:W3CDTF">2026-06-01T12:15:08Z</dcterms:created>
  <dcterms:modified xsi:type="dcterms:W3CDTF">2026-06-02T16:23:37Z</dcterms:modified>
</cp:coreProperties>
</file>